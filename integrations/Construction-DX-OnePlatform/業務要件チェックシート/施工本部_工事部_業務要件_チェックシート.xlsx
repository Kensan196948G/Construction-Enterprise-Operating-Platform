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業務内容一覧" sheetId="1" state="visible" r:id="rId1"/>
    <sheet xmlns:r="http://schemas.openxmlformats.org/officeDocument/2006/relationships" name="業務チェック確認" sheetId="2" state="visible" r:id="rId2"/>
    <sheet xmlns:r="http://schemas.openxmlformats.org/officeDocument/2006/relationships" name="確認サマリー" sheetId="3" state="visible" r:id="rId3"/>
  </sheets>
  <definedNames>
    <definedName name="_xlnm._FilterDatabase" localSheetId="0" hidden="1">'業務内容一覧'!$A$4:$G$127</definedName>
    <definedName name="_xlnm._FilterDatabase" localSheetId="1" hidden="1">'業務チェック確認'!$A$5:$K$142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26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DejaVu Sans"/>
      <family val="2"/>
      <b val="1"/>
      <color rgb="FF0F3460"/>
      <sz val="14"/>
    </font>
    <font>
      <name val="Meiryo"/>
      <charset val="1"/>
      <family val="0"/>
      <b val="1"/>
      <color rgb="FF0F3460"/>
      <sz val="14"/>
    </font>
    <font>
      <name val="DejaVu Sans"/>
      <family val="2"/>
      <color rgb="FF555555"/>
      <sz val="9"/>
    </font>
    <font>
      <name val="Meiryo"/>
      <charset val="1"/>
      <family val="0"/>
      <color rgb="FF555555"/>
      <sz val="9"/>
    </font>
    <font>
      <name val="Meiryo"/>
      <charset val="1"/>
      <family val="0"/>
      <b val="1"/>
      <color rgb="FFFFFFFF"/>
      <sz val="11"/>
    </font>
    <font>
      <name val="DejaVu Sans"/>
      <family val="2"/>
      <b val="1"/>
      <color rgb="FFFFFFFF"/>
      <sz val="11"/>
    </font>
    <font>
      <name val="DejaVu Sans"/>
      <family val="2"/>
      <b val="1"/>
      <color rgb="FF16213E"/>
      <sz val="10"/>
    </font>
    <font>
      <name val="Meiryo"/>
      <charset val="1"/>
      <family val="0"/>
      <sz val="10"/>
    </font>
    <font>
      <name val="DejaVu Sans"/>
      <family val="2"/>
      <sz val="10"/>
    </font>
    <font>
      <name val="DejaVu Sans"/>
      <family val="2"/>
      <b val="1"/>
      <sz val="10"/>
    </font>
    <font>
      <name val="Meiryo"/>
      <charset val="1"/>
      <family val="0"/>
      <b val="1"/>
      <sz val="10"/>
    </font>
    <font>
      <name val="DejaVu Sans"/>
      <family val="2"/>
      <b val="1"/>
      <color rgb="FFE94560"/>
      <sz val="14"/>
    </font>
    <font>
      <name val="Meiryo"/>
      <charset val="1"/>
      <family val="0"/>
      <b val="1"/>
      <color rgb="FFE94560"/>
      <sz val="14"/>
    </font>
    <font>
      <name val="DejaVu Sans"/>
      <family val="2"/>
      <color rgb="FFE94560"/>
      <sz val="9"/>
    </font>
    <font>
      <name val="DejaVu Sans"/>
      <family val="2"/>
      <i val="1"/>
      <color rgb="FF333333"/>
      <sz val="9"/>
    </font>
    <font>
      <name val="Meiryo"/>
      <charset val="1"/>
      <family val="0"/>
      <i val="1"/>
      <color rgb="FF333333"/>
      <sz val="9"/>
    </font>
    <font>
      <name val="Meiryo"/>
      <charset val="1"/>
      <family val="0"/>
      <b val="1"/>
      <color rgb="FFFFFFFF"/>
      <sz val="10"/>
    </font>
    <font>
      <name val="DejaVu Sans"/>
      <family val="2"/>
      <b val="1"/>
      <color rgb="FFFFFFFF"/>
      <sz val="10"/>
    </font>
    <font>
      <name val="DejaVu Sans"/>
      <family val="2"/>
      <b val="1"/>
      <color rgb="FFE94560"/>
      <sz val="10"/>
    </font>
    <font>
      <name val="DejaVu Sans"/>
      <family val="2"/>
      <color rgb="FFE94560"/>
      <sz val="10"/>
    </font>
    <font>
      <name val="DejaVu Sans"/>
      <family val="2"/>
      <b val="1"/>
      <color rgb="FF533483"/>
      <sz val="14"/>
    </font>
    <font>
      <name val="Meiryo"/>
      <charset val="1"/>
      <family val="0"/>
      <b val="1"/>
      <color rgb="FF533483"/>
      <sz val="14"/>
    </font>
  </fonts>
  <fills count="8">
    <fill>
      <patternFill/>
    </fill>
    <fill>
      <patternFill patternType="gray125"/>
    </fill>
    <fill>
      <patternFill patternType="solid">
        <fgColor rgb="FF1A1A2E"/>
        <bgColor rgb="FF16213E"/>
      </patternFill>
    </fill>
    <fill>
      <patternFill patternType="solid">
        <fgColor rgb="FFE8ECF1"/>
        <bgColor rgb="FFFFEBEE"/>
      </patternFill>
    </fill>
    <fill>
      <patternFill patternType="solid">
        <fgColor rgb="FFFFF8E1"/>
        <bgColor rgb="FFFFEBEE"/>
      </patternFill>
    </fill>
    <fill>
      <patternFill patternType="solid">
        <fgColor rgb="FF0F3460"/>
        <bgColor rgb="FF16213E"/>
      </patternFill>
    </fill>
    <fill>
      <patternFill patternType="solid">
        <fgColor rgb="FFFFEBEE"/>
        <bgColor rgb="FFFFF8E1"/>
      </patternFill>
    </fill>
    <fill>
      <patternFill patternType="solid">
        <fgColor rgb="FF533483"/>
        <bgColor rgb="FF555555"/>
      </patternFill>
    </fill>
  </fills>
  <borders count="5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 style="thin">
        <color rgb="FFCCCCCC"/>
      </top>
      <bottom style="thin">
        <color rgb="FFCCCCCC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3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bottom"/>
    </xf>
    <xf numFmtId="0" fontId="8" fillId="2" borderId="1" applyAlignment="1" pivotButton="0" quotePrefix="0" xfId="0">
      <alignment horizontal="center" vertical="center" wrapText="1"/>
    </xf>
    <xf numFmtId="0" fontId="9" fillId="2" borderId="1" applyAlignment="1" pivotButton="0" quotePrefix="0" xfId="0">
      <alignment horizontal="center" vertical="center" wrapText="1"/>
    </xf>
    <xf numFmtId="0" fontId="10" fillId="3" borderId="2" applyAlignment="1" pivotButton="0" quotePrefix="0" xfId="0">
      <alignment horizontal="general" vertical="bottom"/>
    </xf>
    <xf numFmtId="0" fontId="11" fillId="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general" vertical="bottom"/>
    </xf>
    <xf numFmtId="0" fontId="12" fillId="0" borderId="1" applyAlignment="1" pivotButton="0" quotePrefix="0" xfId="0">
      <alignment horizontal="general" vertical="top" wrapText="1"/>
    </xf>
    <xf numFmtId="0" fontId="11" fillId="0" borderId="1" applyAlignment="1" pivotButton="0" quotePrefix="0" xfId="0">
      <alignment horizontal="general" vertical="top" wrapText="1"/>
    </xf>
    <xf numFmtId="0" fontId="11" fillId="0" borderId="1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center"/>
    </xf>
    <xf numFmtId="0" fontId="17" fillId="0" borderId="0" applyAlignment="1" pivotButton="0" quotePrefix="0" xfId="0">
      <alignment horizontal="general" vertical="bottom"/>
    </xf>
    <xf numFmtId="0" fontId="18" fillId="4" borderId="0" applyAlignment="1" pivotButton="0" quotePrefix="0" xfId="0">
      <alignment horizontal="general" vertical="bottom"/>
    </xf>
    <xf numFmtId="0" fontId="20" fillId="5" borderId="1" applyAlignment="1" pivotButton="0" quotePrefix="0" xfId="0">
      <alignment horizontal="center" vertical="center" wrapText="1"/>
    </xf>
    <xf numFmtId="0" fontId="21" fillId="5" borderId="1" applyAlignment="1" pivotButton="0" quotePrefix="0" xfId="0">
      <alignment horizontal="center" vertical="center" wrapText="1"/>
    </xf>
    <xf numFmtId="0" fontId="22" fillId="6" borderId="2" applyAlignment="1" pivotButton="0" quotePrefix="0" xfId="0">
      <alignment horizontal="general" vertical="bottom"/>
    </xf>
    <xf numFmtId="0" fontId="12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general" vertical="bottom"/>
    </xf>
    <xf numFmtId="0" fontId="23" fillId="4" borderId="1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center" vertical="center" wrapText="1"/>
    </xf>
    <xf numFmtId="0" fontId="24" fillId="0" borderId="0" applyAlignment="1" pivotButton="0" quotePrefix="0" xfId="0">
      <alignment horizontal="general" vertical="bottom"/>
    </xf>
    <xf numFmtId="0" fontId="9" fillId="7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general" vertical="bottom"/>
    </xf>
    <xf numFmtId="0" fontId="13" fillId="0" borderId="1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bottom"/>
    </xf>
    <xf numFmtId="0" fontId="8" fillId="2" borderId="1" applyAlignment="1" pivotButton="0" quotePrefix="0" xfId="0">
      <alignment horizontal="center" vertical="center" wrapText="1"/>
    </xf>
    <xf numFmtId="0" fontId="9" fillId="2" borderId="1" applyAlignment="1" pivotButton="0" quotePrefix="0" xfId="0">
      <alignment horizontal="center" vertical="center" wrapText="1"/>
    </xf>
    <xf numFmtId="0" fontId="10" fillId="3" borderId="2" applyAlignment="1" pivotButton="0" quotePrefix="0" xfId="0">
      <alignment horizontal="center" vertical="center"/>
    </xf>
    <xf numFmtId="0" fontId="0" fillId="0" borderId="4" pivotButton="0" quotePrefix="0" xfId="0"/>
    <xf numFmtId="0" fontId="11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vertical="top" wrapText="1"/>
    </xf>
    <xf numFmtId="0" fontId="12" fillId="0" borderId="1" applyAlignment="1" pivotButton="0" quotePrefix="0" xfId="0">
      <alignment horizontal="general" vertical="bottom"/>
    </xf>
    <xf numFmtId="0" fontId="11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vertical="top" wrapText="1"/>
    </xf>
    <xf numFmtId="0" fontId="11" fillId="0" borderId="1" applyAlignment="1" pivotButton="0" quotePrefix="0" xfId="0">
      <alignment horizontal="general" vertical="bottom"/>
    </xf>
    <xf numFmtId="0" fontId="13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general" vertical="center"/>
    </xf>
    <xf numFmtId="0" fontId="17" fillId="0" borderId="0" applyAlignment="1" pivotButton="0" quotePrefix="0" xfId="0">
      <alignment horizontal="general" vertical="bottom"/>
    </xf>
    <xf numFmtId="0" fontId="18" fillId="4" borderId="0" applyAlignment="1" pivotButton="0" quotePrefix="0" xfId="0">
      <alignment horizontal="general" vertical="bottom"/>
    </xf>
    <xf numFmtId="0" fontId="20" fillId="5" borderId="1" applyAlignment="1" pivotButton="0" quotePrefix="0" xfId="0">
      <alignment horizontal="center" vertical="center" wrapText="1"/>
    </xf>
    <xf numFmtId="0" fontId="21" fillId="5" borderId="1" applyAlignment="1" pivotButton="0" quotePrefix="0" xfId="0">
      <alignment horizontal="center" vertical="center" wrapText="1"/>
    </xf>
    <xf numFmtId="0" fontId="10" fillId="3" borderId="2" applyAlignment="1" pivotButton="0" quotePrefix="0" xfId="0">
      <alignment horizontal="center" vertical="center" wrapText="1"/>
    </xf>
    <xf numFmtId="0" fontId="0" fillId="0" borderId="4" applyAlignment="1" pivotButton="0" quotePrefix="0" xfId="0">
      <alignment vertical="top" wrapText="1"/>
    </xf>
    <xf numFmtId="0" fontId="0" fillId="0" borderId="4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22" fillId="6" borderId="2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top" wrapText="1"/>
    </xf>
    <xf numFmtId="0" fontId="23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 wrapText="1"/>
    </xf>
    <xf numFmtId="0" fontId="14" fillId="0" borderId="0" applyAlignment="1" pivotButton="0" quotePrefix="0" xfId="0">
      <alignment vertical="top" wrapText="1"/>
    </xf>
    <xf numFmtId="0" fontId="24" fillId="0" borderId="0" applyAlignment="1" pivotButton="0" quotePrefix="0" xfId="0">
      <alignment horizontal="general" vertical="bottom"/>
    </xf>
    <xf numFmtId="0" fontId="9" fillId="7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general" vertical="bottom"/>
    </xf>
    <xf numFmtId="0" fontId="13" fillId="0" borderId="1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0">
    <dxf>
      <fill>
        <patternFill patternType="solid">
          <fgColor rgb="FF1A1A2E"/>
          <bgColor rgb="FF000000"/>
        </patternFill>
      </fill>
    </dxf>
    <dxf>
      <fill>
        <patternFill patternType="solid">
          <fgColor rgb="FFE8ECF1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6213E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F3460"/>
          <bgColor rgb="FF000000"/>
        </patternFill>
      </fill>
    </dxf>
    <dxf>
      <fill>
        <patternFill patternType="solid">
          <fgColor rgb="FFFFEBEE"/>
          <bgColor rgb="FF000000"/>
        </patternFill>
      </fill>
    </dxf>
    <dxf>
      <fill>
        <patternFill patternType="solid">
          <fgColor rgb="FFFFF8E1"/>
          <bgColor rgb="FF000000"/>
        </patternFill>
      </fill>
    </dxf>
    <dxf>
      <fill>
        <patternFill patternType="solid">
          <fgColor rgb="FFE9456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8E1"/>
      <rgbColor rgb="FFE8EC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BEE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94560"/>
      <rgbColor rgb="FF555555"/>
      <rgbColor rgb="FF969696"/>
      <rgbColor rgb="FF0F3460"/>
      <rgbColor rgb="FF339966"/>
      <rgbColor rgb="FF16213E"/>
      <rgbColor rgb="FF1A1A2E"/>
      <rgbColor rgb="FF993300"/>
      <rgbColor rgb="FF993366"/>
      <rgbColor rgb="FF533483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tabColor rgb="FF0F3460"/>
    <outlinePr summaryBelow="1" summaryRight="1"/>
    <pageSetUpPr fitToPage="0"/>
  </sheetPr>
  <dimension ref="A1:G129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7" customWidth="1" style="31" min="1" max="1"/>
    <col width="22" customWidth="1" style="31" min="2" max="2"/>
    <col width="24" customWidth="1" style="31" min="3" max="3"/>
    <col width="22" customWidth="1" style="31" min="4" max="4"/>
    <col width="65" customWidth="1" style="31" min="5" max="5"/>
    <col width="12" customWidth="1" style="31" min="6" max="6"/>
    <col width="24" customWidth="1" style="31" min="7" max="7"/>
  </cols>
  <sheetData>
    <row r="1" ht="38" customHeight="1" s="32">
      <c r="A1" s="33" t="inlineStr">
        <is>
          <t>業務要件書 — 施工本部_工事部</t>
        </is>
      </c>
    </row>
    <row r="2" ht="22" customHeight="1" s="32">
      <c r="A2" s="34" t="inlineStr">
        <is>
          <t>文書: 施工本部 工事部 業務要件書 | みらい建設工業 統合建設DX基盤 | 作成日: 2026-05-16</t>
        </is>
      </c>
    </row>
    <row r="4" ht="15" customHeight="1" s="32">
      <c r="A4" s="35" t="inlineStr">
        <is>
          <t>No.</t>
        </is>
      </c>
      <c r="B4" s="36" t="inlineStr">
        <is>
          <t>大分類</t>
        </is>
      </c>
      <c r="C4" s="36" t="inlineStr">
        <is>
          <t>中分類</t>
        </is>
      </c>
      <c r="D4" s="36" t="inlineStr">
        <is>
          <t>小分類</t>
        </is>
      </c>
      <c r="E4" s="36" t="inlineStr">
        <is>
          <t>業務項目・内容</t>
        </is>
      </c>
      <c r="F4" s="36" t="inlineStr">
        <is>
          <t>優先度</t>
        </is>
      </c>
      <c r="G4" s="36" t="inlineStr">
        <is>
          <t>備考</t>
        </is>
      </c>
    </row>
    <row r="5" ht="16" customHeight="1" s="32">
      <c r="A5" s="37" t="inlineStr">
        <is>
          <t>■ 部署概要</t>
        </is>
      </c>
      <c r="B5" s="38" t="n"/>
      <c r="C5" s="38" t="n"/>
      <c r="D5" s="38" t="n"/>
      <c r="E5" s="38" t="n"/>
      <c r="F5" s="38" t="n"/>
      <c r="G5" s="38" t="n"/>
    </row>
    <row r="6" ht="16" customHeight="1" s="32">
      <c r="A6" s="39" t="n">
        <v>1</v>
      </c>
      <c r="B6" s="40" t="inlineStr">
        <is>
          <t>部署概要</t>
        </is>
      </c>
      <c r="C6" s="40" t="inlineStr">
        <is>
          <t>部署ミッション</t>
        </is>
      </c>
      <c r="D6" s="41" t="n"/>
      <c r="E6" s="40" t="inlineStr">
        <is>
          <t>全施工現場の工程通りの完成</t>
        </is>
      </c>
      <c r="F6" s="42" t="n"/>
      <c r="G6" s="41" t="n"/>
    </row>
    <row r="7" ht="16" customHeight="1" s="32">
      <c r="A7" s="39" t="n">
        <v>2</v>
      </c>
      <c r="B7" s="40" t="inlineStr">
        <is>
          <t>部署概要</t>
        </is>
      </c>
      <c r="C7" s="40" t="inlineStr">
        <is>
          <t>部署ミッション</t>
        </is>
      </c>
      <c r="D7" s="41" t="n"/>
      <c r="E7" s="40" t="inlineStr">
        <is>
          <t>原価管理による利益確保</t>
        </is>
      </c>
      <c r="F7" s="42" t="n"/>
      <c r="G7" s="41" t="n"/>
    </row>
    <row r="8" ht="16" customHeight="1" s="32">
      <c r="A8" s="39" t="n">
        <v>3</v>
      </c>
      <c r="B8" s="40" t="inlineStr">
        <is>
          <t>部署概要</t>
        </is>
      </c>
      <c r="C8" s="40" t="inlineStr">
        <is>
          <t>部署ミッション</t>
        </is>
      </c>
      <c r="D8" s="41" t="n"/>
      <c r="E8" s="40" t="inlineStr">
        <is>
          <t>品質基準の遵守と品質向上</t>
        </is>
      </c>
      <c r="F8" s="42" t="n"/>
      <c r="G8" s="41" t="n"/>
    </row>
    <row r="9" ht="16" customHeight="1" s="32">
      <c r="A9" s="39" t="n">
        <v>4</v>
      </c>
      <c r="B9" s="40" t="inlineStr">
        <is>
          <t>部署概要</t>
        </is>
      </c>
      <c r="C9" s="40" t="inlineStr">
        <is>
          <t>部署ミッション</t>
        </is>
      </c>
      <c r="D9" s="41" t="n"/>
      <c r="E9" s="40" t="inlineStr">
        <is>
          <t>労働災害ゼロの達成</t>
        </is>
      </c>
      <c r="F9" s="42" t="n"/>
      <c r="G9" s="41" t="n"/>
    </row>
    <row r="10" ht="16" customHeight="1" s="32">
      <c r="A10" s="39" t="n">
        <v>5</v>
      </c>
      <c r="B10" s="40" t="inlineStr">
        <is>
          <t>部署概要</t>
        </is>
      </c>
      <c r="C10" s="40" t="inlineStr">
        <is>
          <t>部署ミッション</t>
        </is>
      </c>
      <c r="D10" s="41" t="n"/>
      <c r="E10" s="43" t="inlineStr">
        <is>
          <t>i-Construction 2.0対応のICT施工推進</t>
        </is>
      </c>
      <c r="F10" s="42" t="n"/>
      <c r="G10" s="41" t="n"/>
    </row>
    <row r="11" ht="32" customHeight="1" s="32">
      <c r="A11" s="37" t="inlineStr">
        <is>
          <t>■ 現行業務フロー</t>
        </is>
      </c>
      <c r="B11" s="38" t="n"/>
      <c r="C11" s="38" t="n"/>
      <c r="D11" s="38" t="n"/>
      <c r="E11" s="38" t="n"/>
      <c r="F11" s="38" t="n"/>
      <c r="G11" s="38" t="n"/>
    </row>
    <row r="12" ht="16" customHeight="1" s="32">
      <c r="A12" s="39" t="n">
        <v>6</v>
      </c>
      <c r="B12" s="40" t="inlineStr">
        <is>
          <t>現行業務フロー</t>
        </is>
      </c>
      <c r="C12" s="40" t="inlineStr">
        <is>
          <t>工程管理業務</t>
        </is>
      </c>
      <c r="D12" s="41" t="n"/>
      <c r="E12" s="40" t="inlineStr">
        <is>
          <t>工程表がExcelで作成されており、リアルタイム更新困難</t>
        </is>
      </c>
      <c r="F12" s="42" t="n"/>
      <c r="G12" s="41" t="n"/>
    </row>
    <row r="13" ht="16" customHeight="1" s="32">
      <c r="A13" s="39" t="n">
        <v>7</v>
      </c>
      <c r="B13" s="40" t="inlineStr">
        <is>
          <t>現行業務フロー</t>
        </is>
      </c>
      <c r="C13" s="40" t="inlineStr">
        <is>
          <t>工程管理業務</t>
        </is>
      </c>
      <c r="D13" s="41" t="n"/>
      <c r="E13" s="40" t="inlineStr">
        <is>
          <t>現場からの進捗報告が電話・FAXで本社への伝達が遅い</t>
        </is>
      </c>
      <c r="F13" s="42" t="n"/>
      <c r="G13" s="41" t="n"/>
    </row>
    <row r="14" ht="16" customHeight="1" s="32">
      <c r="A14" s="39" t="n">
        <v>8</v>
      </c>
      <c r="B14" s="40" t="inlineStr">
        <is>
          <t>現行業務フロー</t>
        </is>
      </c>
      <c r="C14" s="40" t="inlineStr">
        <is>
          <t>工程管理業務</t>
        </is>
      </c>
      <c r="D14" s="41" t="n"/>
      <c r="E14" s="40" t="inlineStr">
        <is>
          <t>複数現場の進捗を横断的に把握できない</t>
        </is>
      </c>
      <c r="F14" s="42" t="n"/>
      <c r="G14" s="41" t="n"/>
    </row>
    <row r="15" ht="16" customHeight="1" s="32">
      <c r="A15" s="39" t="n">
        <v>9</v>
      </c>
      <c r="B15" s="40" t="inlineStr">
        <is>
          <t>現行業務フロー</t>
        </is>
      </c>
      <c r="C15" s="40" t="inlineStr">
        <is>
          <t>工程管理業務</t>
        </is>
      </c>
      <c r="D15" s="41" t="n"/>
      <c r="E15" s="40" t="inlineStr">
        <is>
          <t>天候による工程影響の予測ができない</t>
        </is>
      </c>
      <c r="F15" s="42" t="n"/>
      <c r="G15" s="41" t="n"/>
    </row>
    <row r="16" ht="16" customHeight="1" s="32">
      <c r="A16" s="39" t="n">
        <v>10</v>
      </c>
      <c r="B16" s="40" t="inlineStr">
        <is>
          <t>現行業務フロー</t>
        </is>
      </c>
      <c r="C16" s="40" t="inlineStr">
        <is>
          <t>日報管理業務</t>
        </is>
      </c>
      <c r="D16" s="41" t="n"/>
      <c r="E16" s="40" t="inlineStr">
        <is>
          <t>手書き日報の転記作業が非効率</t>
        </is>
      </c>
      <c r="F16" s="42" t="n"/>
      <c r="G16" s="41" t="n"/>
    </row>
    <row r="17" ht="16" customHeight="1" s="32">
      <c r="A17" s="39" t="n">
        <v>11</v>
      </c>
      <c r="B17" s="40" t="inlineStr">
        <is>
          <t>現行業務フロー</t>
        </is>
      </c>
      <c r="C17" s="40" t="inlineStr">
        <is>
          <t>日報管理業務</t>
        </is>
      </c>
      <c r="D17" s="41" t="n"/>
      <c r="E17" s="40" t="inlineStr">
        <is>
          <t>圏外現場での電子入力ができない（最重要課題）</t>
        </is>
      </c>
      <c r="F17" s="42" t="n"/>
      <c r="G17" s="41" t="n"/>
    </row>
    <row r="18" ht="16" customHeight="1" s="32">
      <c r="A18" s="39" t="n">
        <v>12</v>
      </c>
      <c r="B18" s="40" t="inlineStr">
        <is>
          <t>現行業務フロー</t>
        </is>
      </c>
      <c r="C18" s="40" t="inlineStr">
        <is>
          <t>日報管理業務</t>
        </is>
      </c>
      <c r="D18" s="41" t="n"/>
      <c r="E18" s="40" t="inlineStr">
        <is>
          <t>写真との紐づけが手動</t>
        </is>
      </c>
      <c r="F18" s="42" t="n"/>
      <c r="G18" s="41" t="n"/>
    </row>
    <row r="19" ht="16" customHeight="1" s="32">
      <c r="A19" s="39" t="n">
        <v>13</v>
      </c>
      <c r="B19" s="40" t="inlineStr">
        <is>
          <t>現行業務フロー</t>
        </is>
      </c>
      <c r="C19" s="40" t="inlineStr">
        <is>
          <t>日報管理業務</t>
        </is>
      </c>
      <c r="D19" s="41" t="n"/>
      <c r="E19" s="40" t="inlineStr">
        <is>
          <t>日報データの全社集約・分析ができない</t>
        </is>
      </c>
      <c r="F19" s="42" t="n"/>
      <c r="G19" s="41" t="n"/>
    </row>
    <row r="20" ht="32" customHeight="1" s="32">
      <c r="A20" s="37" t="inlineStr">
        <is>
          <t>■ 業務要件（詳細）</t>
        </is>
      </c>
      <c r="B20" s="38" t="n"/>
      <c r="C20" s="38" t="n"/>
      <c r="D20" s="38" t="n"/>
      <c r="E20" s="38" t="n"/>
      <c r="F20" s="38" t="n"/>
      <c r="G20" s="38" t="n"/>
    </row>
    <row r="21" ht="16" customHeight="1" s="32">
      <c r="A21" s="39" t="n">
        <v>14</v>
      </c>
      <c r="B21" s="40" t="inlineStr">
        <is>
          <t>業務要件（詳細）</t>
        </is>
      </c>
      <c r="C21" s="40" t="inlineStr">
        <is>
          <t>工程管理</t>
        </is>
      </c>
      <c r="D21" s="40" t="inlineStr">
        <is>
          <t>天候連動工程管理</t>
        </is>
      </c>
      <c r="E21" s="40" t="inlineStr">
        <is>
          <t>気象庁APIとの連携による天気予報表示</t>
        </is>
      </c>
      <c r="F21" s="42" t="n"/>
      <c r="G21" s="41" t="n"/>
    </row>
    <row r="22" ht="16" customHeight="1" s="32">
      <c r="A22" s="39" t="n">
        <v>15</v>
      </c>
      <c r="B22" s="40" t="inlineStr">
        <is>
          <t>業務要件（詳細）</t>
        </is>
      </c>
      <c r="C22" s="40" t="inlineStr">
        <is>
          <t>工程管理</t>
        </is>
      </c>
      <c r="D22" s="40" t="inlineStr">
        <is>
          <t>天候連動工程管理</t>
        </is>
      </c>
      <c r="E22" s="40" t="inlineStr">
        <is>
          <t>天候による作業可否の自動判定ルール設定</t>
        </is>
      </c>
      <c r="F22" s="42" t="n"/>
      <c r="G22" s="41" t="n"/>
    </row>
    <row r="23" ht="16" customHeight="1" s="32">
      <c r="A23" s="39" t="n">
        <v>16</v>
      </c>
      <c r="B23" s="40" t="inlineStr">
        <is>
          <t>業務要件（詳細）</t>
        </is>
      </c>
      <c r="C23" s="40" t="inlineStr">
        <is>
          <t>工程管理</t>
        </is>
      </c>
      <c r="D23" s="40" t="inlineStr">
        <is>
          <t>天候連動工程管理</t>
        </is>
      </c>
      <c r="E23" s="40" t="inlineStr">
        <is>
          <t>天候予測に基づく工程影響のAI分析</t>
        </is>
      </c>
      <c r="F23" s="42" t="n"/>
      <c r="G23" s="41" t="n"/>
    </row>
    <row r="24" ht="16" customHeight="1" s="32">
      <c r="A24" s="39" t="n">
        <v>17</v>
      </c>
      <c r="B24" s="40" t="inlineStr">
        <is>
          <t>業務要件（詳細）</t>
        </is>
      </c>
      <c r="C24" s="40" t="inlineStr">
        <is>
          <t>工程管理</t>
        </is>
      </c>
      <c r="D24" s="40" t="inlineStr">
        <is>
          <t>工程進捗報告</t>
        </is>
      </c>
      <c r="E24" s="40" t="inlineStr">
        <is>
          <t>各現場からの日次進捗入力（オフライン対応必須）</t>
        </is>
      </c>
      <c r="F24" s="42" t="n"/>
      <c r="G24" s="41" t="n"/>
    </row>
    <row r="25" ht="16" customHeight="1" s="32">
      <c r="A25" s="39" t="n">
        <v>18</v>
      </c>
      <c r="B25" s="40" t="inlineStr">
        <is>
          <t>業務要件（詳細）</t>
        </is>
      </c>
      <c r="C25" s="40" t="inlineStr">
        <is>
          <t>工程管理</t>
        </is>
      </c>
      <c r="D25" s="40" t="inlineStr">
        <is>
          <t>工程進捗報告</t>
        </is>
      </c>
      <c r="E25" s="40" t="inlineStr">
        <is>
          <t>計画進捗率vs実績進捗率のイナズマ線表示</t>
        </is>
      </c>
      <c r="F25" s="42" t="n"/>
      <c r="G25" s="41" t="n"/>
    </row>
    <row r="26" ht="16" customHeight="1" s="32">
      <c r="A26" s="39" t="n">
        <v>19</v>
      </c>
      <c r="B26" s="40" t="inlineStr">
        <is>
          <t>業務要件（詳細）</t>
        </is>
      </c>
      <c r="C26" s="40" t="inlineStr">
        <is>
          <t>工程管理</t>
        </is>
      </c>
      <c r="D26" s="40" t="inlineStr">
        <is>
          <t>工程進捗報告</t>
        </is>
      </c>
      <c r="E26" s="40" t="inlineStr">
        <is>
          <t>遅延アラート（計画比7日以上遅延で自動通知）</t>
        </is>
      </c>
      <c r="F26" s="42" t="n"/>
      <c r="G26" s="41" t="n"/>
    </row>
    <row r="27" ht="16" customHeight="1" s="32">
      <c r="A27" s="39" t="n">
        <v>20</v>
      </c>
      <c r="B27" s="40" t="inlineStr">
        <is>
          <t>業務要件（詳細）</t>
        </is>
      </c>
      <c r="C27" s="40" t="inlineStr">
        <is>
          <t>工程管理</t>
        </is>
      </c>
      <c r="D27" s="40" t="inlineStr">
        <is>
          <t>工程進捗報告</t>
        </is>
      </c>
      <c r="E27" s="40" t="inlineStr">
        <is>
          <t>工事部長への週次サマリー自動生成</t>
        </is>
      </c>
      <c r="F27" s="42" t="n"/>
      <c r="G27" s="41" t="n"/>
    </row>
    <row r="28" ht="16" customHeight="1" s="32">
      <c r="A28" s="39" t="n">
        <v>21</v>
      </c>
      <c r="B28" s="40" t="inlineStr">
        <is>
          <t>業務要件（詳細）</t>
        </is>
      </c>
      <c r="C28" s="40" t="inlineStr">
        <is>
          <t>出来高管理</t>
        </is>
      </c>
      <c r="D28" s="40" t="inlineStr">
        <is>
          <t>出来形管理</t>
        </is>
      </c>
      <c r="E28" s="40" t="inlineStr">
        <is>
          <t>出来形管理図の自動生成（規格値との比較）</t>
        </is>
      </c>
      <c r="F28" s="42" t="n"/>
      <c r="G28" s="41" t="n"/>
    </row>
    <row r="29" ht="16" customHeight="1" s="32">
      <c r="A29" s="39" t="n">
        <v>22</v>
      </c>
      <c r="B29" s="40" t="inlineStr">
        <is>
          <t>業務要件（詳細）</t>
        </is>
      </c>
      <c r="C29" s="40" t="inlineStr">
        <is>
          <t>出来高管理</t>
        </is>
      </c>
      <c r="D29" s="40" t="inlineStr">
        <is>
          <t>出来形管理</t>
        </is>
      </c>
      <c r="E29" s="40" t="inlineStr">
        <is>
          <t>設計値・規格値・実測値の一覧表</t>
        </is>
      </c>
      <c r="F29" s="42" t="n"/>
      <c r="G29" s="41" t="n"/>
    </row>
    <row r="30" ht="16" customHeight="1" s="32">
      <c r="A30" s="39" t="n">
        <v>23</v>
      </c>
      <c r="B30" s="40" t="inlineStr">
        <is>
          <t>業務要件（詳細）</t>
        </is>
      </c>
      <c r="C30" s="40" t="inlineStr">
        <is>
          <t>出来高管理</t>
        </is>
      </c>
      <c r="D30" s="40" t="inlineStr">
        <is>
          <t>出来形管理</t>
        </is>
      </c>
      <c r="E30" s="43" t="inlineStr">
        <is>
          <t>i-Construction対応の3次元出来形管理</t>
        </is>
      </c>
      <c r="F30" s="42" t="n"/>
      <c r="G30" s="41" t="n"/>
    </row>
    <row r="31" ht="16" customHeight="1" s="32">
      <c r="A31" s="39" t="n">
        <v>24</v>
      </c>
      <c r="B31" s="40" t="inlineStr">
        <is>
          <t>業務要件（詳細）</t>
        </is>
      </c>
      <c r="C31" s="40" t="inlineStr">
        <is>
          <t>出来高管理</t>
        </is>
      </c>
      <c r="D31" s="40" t="inlineStr">
        <is>
          <t>出来形管理</t>
        </is>
      </c>
      <c r="E31" s="40" t="inlineStr">
        <is>
          <t>ドローン測量データとの連携による面的出来形管理</t>
        </is>
      </c>
      <c r="F31" s="42" t="n"/>
      <c r="G31" s="41" t="n"/>
    </row>
    <row r="32" ht="16" customHeight="1" s="32">
      <c r="A32" s="39" t="n">
        <v>25</v>
      </c>
      <c r="B32" s="40" t="inlineStr">
        <is>
          <t>業務要件（詳細）</t>
        </is>
      </c>
      <c r="C32" s="40" t="inlineStr">
        <is>
          <t>出来高管理</t>
        </is>
      </c>
      <c r="D32" s="40" t="inlineStr">
        <is>
          <t>月次出来高集計</t>
        </is>
      </c>
      <c r="E32" s="40" t="inlineStr">
        <is>
          <t>月末の出来高集計→発注者への出来高請求書生成</t>
        </is>
      </c>
      <c r="F32" s="42" t="n"/>
      <c r="G32" s="41" t="n"/>
    </row>
    <row r="33" ht="16" customHeight="1" s="32">
      <c r="A33" s="39" t="n">
        <v>26</v>
      </c>
      <c r="B33" s="40" t="inlineStr">
        <is>
          <t>業務要件（詳細）</t>
        </is>
      </c>
      <c r="C33" s="40" t="inlineStr">
        <is>
          <t>出来高管理</t>
        </is>
      </c>
      <c r="D33" s="40" t="inlineStr">
        <is>
          <t>月次出来高集計</t>
        </is>
      </c>
      <c r="E33" s="40" t="inlineStr">
        <is>
          <t>出来高推移グラフ（S字カーブ）</t>
        </is>
      </c>
      <c r="F33" s="42" t="n"/>
      <c r="G33" s="41" t="n"/>
    </row>
    <row r="34" ht="16" customHeight="1" s="32">
      <c r="A34" s="39" t="n">
        <v>27</v>
      </c>
      <c r="B34" s="40" t="inlineStr">
        <is>
          <t>業務要件（詳細）</t>
        </is>
      </c>
      <c r="C34" s="40" t="inlineStr">
        <is>
          <t>出来高管理</t>
        </is>
      </c>
      <c r="D34" s="40" t="inlineStr">
        <is>
          <t>月次出来高集計</t>
        </is>
      </c>
      <c r="E34" s="40" t="inlineStr">
        <is>
          <t>計画出来高vs実績出来高の対比表</t>
        </is>
      </c>
      <c r="F34" s="42" t="n"/>
      <c r="G34" s="41" t="n"/>
    </row>
    <row r="35" ht="16" customHeight="1" s="32">
      <c r="A35" s="39" t="n">
        <v>28</v>
      </c>
      <c r="B35" s="40" t="inlineStr">
        <is>
          <t>業務要件（詳細）</t>
        </is>
      </c>
      <c r="C35" s="40" t="inlineStr">
        <is>
          <t>原価管理</t>
        </is>
      </c>
      <c r="D35" s="43" t="inlineStr">
        <is>
          <t>EAC（完成時総原価予測）</t>
        </is>
      </c>
      <c r="E35" s="40" t="inlineStr">
        <is>
          <t>現在の原価進捗率に基づく完成時原価予測</t>
        </is>
      </c>
      <c r="F35" s="42" t="n"/>
      <c r="G35" s="44" t="n"/>
    </row>
    <row r="36" ht="16" customHeight="1" s="32">
      <c r="A36" s="39" t="n">
        <v>29</v>
      </c>
      <c r="B36" s="40" t="inlineStr">
        <is>
          <t>業務要件（詳細）</t>
        </is>
      </c>
      <c r="C36" s="40" t="inlineStr">
        <is>
          <t>原価管理</t>
        </is>
      </c>
      <c r="D36" s="43" t="inlineStr">
        <is>
          <t>EAC（完成時総原価予測）</t>
        </is>
      </c>
      <c r="E36" s="43" t="inlineStr">
        <is>
          <t>3種類のEAC算出方式：</t>
        </is>
      </c>
      <c r="F36" s="42" t="n"/>
      <c r="G36" s="44" t="n"/>
    </row>
    <row r="37" ht="16" customHeight="1" s="32">
      <c r="A37" s="39" t="n">
        <v>30</v>
      </c>
      <c r="B37" s="40" t="inlineStr">
        <is>
          <t>業務要件（詳細）</t>
        </is>
      </c>
      <c r="C37" s="40" t="inlineStr">
        <is>
          <t>原価管理</t>
        </is>
      </c>
      <c r="D37" s="43" t="inlineStr">
        <is>
          <t>EAC（完成時総原価予測）</t>
        </is>
      </c>
      <c r="E37" s="43" t="inlineStr">
        <is>
          <t>EAC推移グラフ（月次更新）</t>
        </is>
      </c>
      <c r="F37" s="42" t="n"/>
      <c r="G37" s="44" t="n"/>
    </row>
    <row r="38" ht="16" customHeight="1" s="32">
      <c r="A38" s="39" t="n">
        <v>31</v>
      </c>
      <c r="B38" s="40" t="inlineStr">
        <is>
          <t>業務要件（詳細）</t>
        </is>
      </c>
      <c r="C38" s="40" t="inlineStr">
        <is>
          <t>現場写真管理</t>
        </is>
      </c>
      <c r="D38" s="40" t="inlineStr">
        <is>
          <t>国交省デジタル写真管理基準対応</t>
        </is>
      </c>
      <c r="E38" s="40" t="inlineStr">
        <is>
          <t>写真区分（着手前/施工中/出来形/品質/完成）の管理</t>
        </is>
      </c>
      <c r="F38" s="42" t="n"/>
      <c r="G38" s="44" t="n"/>
    </row>
    <row r="39" ht="16" customHeight="1" s="32">
      <c r="A39" s="39" t="n">
        <v>32</v>
      </c>
      <c r="B39" s="40" t="inlineStr">
        <is>
          <t>業務要件（詳細）</t>
        </is>
      </c>
      <c r="C39" s="40" t="inlineStr">
        <is>
          <t>現場写真管理</t>
        </is>
      </c>
      <c r="D39" s="40" t="inlineStr">
        <is>
          <t>国交省デジタル写真管理基準対応</t>
        </is>
      </c>
      <c r="E39" s="40" t="inlineStr">
        <is>
          <t>写真情報のXML管理（PHOTO.XML準拠）</t>
        </is>
      </c>
      <c r="F39" s="42" t="n"/>
      <c r="G39" s="44" t="n"/>
    </row>
    <row r="40" ht="16" customHeight="1" s="32">
      <c r="A40" s="39" t="n">
        <v>33</v>
      </c>
      <c r="B40" s="40" t="inlineStr">
        <is>
          <t>業務要件（詳細）</t>
        </is>
      </c>
      <c r="C40" s="40" t="inlineStr">
        <is>
          <t>現場写真管理</t>
        </is>
      </c>
      <c r="D40" s="40" t="inlineStr">
        <is>
          <t>国交省デジタル写真管理基準対応</t>
        </is>
      </c>
      <c r="E40" s="40" t="inlineStr">
        <is>
          <t>改ざん検知（ハッシュ値の管理）</t>
        </is>
      </c>
      <c r="F40" s="42" t="n"/>
      <c r="G40" s="44" t="n"/>
    </row>
    <row r="41" ht="16" customHeight="1" s="32">
      <c r="A41" s="39" t="n">
        <v>34</v>
      </c>
      <c r="B41" s="40" t="inlineStr">
        <is>
          <t>業務要件（詳細）</t>
        </is>
      </c>
      <c r="C41" s="40" t="inlineStr">
        <is>
          <t>現場写真管理</t>
        </is>
      </c>
      <c r="D41" s="40" t="inlineStr">
        <is>
          <t>国交省デジタル写真管理基準対応</t>
        </is>
      </c>
      <c r="E41" s="40" t="inlineStr">
        <is>
          <t>電子納品形式でのエクスポート</t>
        </is>
      </c>
      <c r="F41" s="42" t="n"/>
      <c r="G41" s="44" t="n"/>
    </row>
    <row r="42" ht="16" customHeight="1" s="32">
      <c r="A42" s="39" t="n">
        <v>35</v>
      </c>
      <c r="B42" s="40" t="inlineStr">
        <is>
          <t>業務要件（詳細）</t>
        </is>
      </c>
      <c r="C42" s="40" t="inlineStr">
        <is>
          <t>電子黒板</t>
        </is>
      </c>
      <c r="D42" s="40" t="inlineStr">
        <is>
          <t>業務要件</t>
        </is>
      </c>
      <c r="E42" s="40" t="inlineStr">
        <is>
          <t>工事写真に工事情報をオーバーレイ表示する電子黒板機能</t>
        </is>
      </c>
      <c r="F42" s="42" t="n"/>
      <c r="G42" s="44" t="n"/>
    </row>
    <row r="43" ht="16" customHeight="1" s="32">
      <c r="A43" s="39" t="n">
        <v>36</v>
      </c>
      <c r="B43" s="40" t="inlineStr">
        <is>
          <t>業務要件（詳細）</t>
        </is>
      </c>
      <c r="C43" s="40" t="inlineStr">
        <is>
          <t>電子黒板</t>
        </is>
      </c>
      <c r="D43" s="40" t="inlineStr">
        <is>
          <t>業務要件</t>
        </is>
      </c>
      <c r="E43" s="40" t="inlineStr">
        <is>
          <t>記載項目：工事名・工種・測定箇所・設計値・実測値・施工者名・日付</t>
        </is>
      </c>
      <c r="F43" s="42" t="n"/>
      <c r="G43" s="44" t="n"/>
    </row>
    <row r="44" ht="16" customHeight="1" s="32">
      <c r="A44" s="39" t="n">
        <v>37</v>
      </c>
      <c r="B44" s="40" t="inlineStr">
        <is>
          <t>業務要件（詳細）</t>
        </is>
      </c>
      <c r="C44" s="40" t="inlineStr">
        <is>
          <t>電子黒板</t>
        </is>
      </c>
      <c r="D44" s="40" t="inlineStr">
        <is>
          <t>業務要件</t>
        </is>
      </c>
      <c r="E44" s="40" t="inlineStr">
        <is>
          <t>テンプレート管理（工種別の黒板レイアウト）</t>
        </is>
      </c>
      <c r="F44" s="42" t="n"/>
      <c r="G44" s="44" t="n"/>
    </row>
    <row r="45" ht="16" customHeight="1" s="32">
      <c r="A45" s="39" t="n">
        <v>38</v>
      </c>
      <c r="B45" s="40" t="inlineStr">
        <is>
          <t>業務要件（詳細）</t>
        </is>
      </c>
      <c r="C45" s="40" t="inlineStr">
        <is>
          <t>電子黒板</t>
        </is>
      </c>
      <c r="D45" s="40" t="inlineStr">
        <is>
          <t>業務要件</t>
        </is>
      </c>
      <c r="E45" s="40" t="inlineStr">
        <is>
          <t>改ざん防止：撮影時点のデータをSHA-256でハッシュ化</t>
        </is>
      </c>
      <c r="F45" s="42" t="n"/>
      <c r="G45" s="44" t="n"/>
    </row>
    <row r="46" ht="16" customHeight="1" s="32">
      <c r="A46" s="39" t="n">
        <v>39</v>
      </c>
      <c r="B46" s="40" t="inlineStr">
        <is>
          <t>業務要件（詳細）</t>
        </is>
      </c>
      <c r="C46" s="40" t="inlineStr">
        <is>
          <t>電子黒板</t>
        </is>
      </c>
      <c r="D46" s="40" t="inlineStr">
        <is>
          <t>業務要件</t>
        </is>
      </c>
      <c r="E46" s="40" t="inlineStr">
        <is>
          <t>国交省の電子黒板使用ガイドライン準拠</t>
        </is>
      </c>
      <c r="F46" s="42" t="n"/>
      <c r="G46" s="44" t="n"/>
    </row>
    <row r="47" ht="16" customHeight="1" s="32">
      <c r="A47" s="39" t="n">
        <v>40</v>
      </c>
      <c r="B47" s="40" t="inlineStr">
        <is>
          <t>業務要件（詳細）</t>
        </is>
      </c>
      <c r="C47" s="43" t="inlineStr">
        <is>
          <t>KY（危険予知）活動管理</t>
        </is>
      </c>
      <c r="D47" s="40" t="inlineStr">
        <is>
          <t>オフライン対応（最重要）</t>
        </is>
      </c>
      <c r="E47" s="40" t="inlineStr">
        <is>
          <t>圏外環境でのKY活動記録入力</t>
        </is>
      </c>
      <c r="F47" s="42" t="n"/>
      <c r="G47" s="44" t="n"/>
    </row>
    <row r="48" ht="16" customHeight="1" s="32">
      <c r="A48" s="39" t="n">
        <v>41</v>
      </c>
      <c r="B48" s="40" t="inlineStr">
        <is>
          <t>業務要件（詳細）</t>
        </is>
      </c>
      <c r="C48" s="43" t="inlineStr">
        <is>
          <t>KY（危険予知）活動管理</t>
        </is>
      </c>
      <c r="D48" s="40" t="inlineStr">
        <is>
          <t>オフライン対応（最重要）</t>
        </is>
      </c>
      <c r="E48" s="40" t="inlineStr">
        <is>
          <t>タブレットでのタッチ入力最適化</t>
        </is>
      </c>
      <c r="F48" s="42" t="n"/>
      <c r="G48" s="44" t="n"/>
    </row>
    <row r="49" ht="16" customHeight="1" s="32">
      <c r="A49" s="39" t="n">
        <v>42</v>
      </c>
      <c r="B49" s="40" t="inlineStr">
        <is>
          <t>業務要件（詳細）</t>
        </is>
      </c>
      <c r="C49" s="43" t="inlineStr">
        <is>
          <t>KY（危険予知）活動管理</t>
        </is>
      </c>
      <c r="D49" s="40" t="inlineStr">
        <is>
          <t>オフライン対応（最重要）</t>
        </is>
      </c>
      <c r="E49" s="40" t="inlineStr">
        <is>
          <t>参加者をQRコード/NFC読取で自動入力</t>
        </is>
      </c>
      <c r="F49" s="42" t="n"/>
      <c r="G49" s="44" t="n"/>
    </row>
    <row r="50" ht="16" customHeight="1" s="32">
      <c r="A50" s="39" t="n">
        <v>43</v>
      </c>
      <c r="B50" s="40" t="inlineStr">
        <is>
          <t>業務要件（詳細）</t>
        </is>
      </c>
      <c r="C50" s="43" t="inlineStr">
        <is>
          <t>KY（危険予知）活動管理</t>
        </is>
      </c>
      <c r="D50" s="40" t="inlineStr">
        <is>
          <t>オフライン対応（最重要）</t>
        </is>
      </c>
      <c r="E50" s="40" t="inlineStr">
        <is>
          <t>ネットワーク復帰時に自動同期</t>
        </is>
      </c>
      <c r="F50" s="42" t="n"/>
      <c r="G50" s="44" t="n"/>
    </row>
    <row r="51" ht="16" customHeight="1" s="32">
      <c r="A51" s="39" t="n">
        <v>44</v>
      </c>
      <c r="B51" s="40" t="inlineStr">
        <is>
          <t>業務要件（詳細）</t>
        </is>
      </c>
      <c r="C51" s="40" t="inlineStr">
        <is>
          <t>作業員入退場管理</t>
        </is>
      </c>
      <c r="D51" s="40" t="inlineStr">
        <is>
          <t>管理要件</t>
        </is>
      </c>
      <c r="E51" s="40" t="inlineStr">
        <is>
          <t>リアルタイム在場者一覧表示</t>
        </is>
      </c>
      <c r="F51" s="42" t="n"/>
      <c r="G51" s="44" t="n"/>
    </row>
    <row r="52" ht="16" customHeight="1" s="32">
      <c r="A52" s="39" t="n">
        <v>45</v>
      </c>
      <c r="B52" s="40" t="inlineStr">
        <is>
          <t>業務要件（詳細）</t>
        </is>
      </c>
      <c r="C52" s="40" t="inlineStr">
        <is>
          <t>作業員入退場管理</t>
        </is>
      </c>
      <c r="D52" s="40" t="inlineStr">
        <is>
          <t>管理要件</t>
        </is>
      </c>
      <c r="E52" s="40" t="inlineStr">
        <is>
          <t>建設キャリアアップシステム（CCUS）との連携</t>
        </is>
      </c>
      <c r="F52" s="42" t="n"/>
      <c r="G52" s="44" t="n"/>
    </row>
    <row r="53" ht="16" customHeight="1" s="32">
      <c r="A53" s="39" t="n">
        <v>46</v>
      </c>
      <c r="B53" s="40" t="inlineStr">
        <is>
          <t>業務要件（詳細）</t>
        </is>
      </c>
      <c r="C53" s="40" t="inlineStr">
        <is>
          <t>作業員入退場管理</t>
        </is>
      </c>
      <c r="D53" s="40" t="inlineStr">
        <is>
          <t>管理要件</t>
        </is>
      </c>
      <c r="E53" s="40" t="inlineStr">
        <is>
          <t>有資格者配置の自動確認（資格情報とのマッチング）</t>
        </is>
      </c>
      <c r="F53" s="42" t="n"/>
      <c r="G53" s="44" t="n"/>
    </row>
    <row r="54" ht="16" customHeight="1" s="32">
      <c r="A54" s="39" t="n">
        <v>47</v>
      </c>
      <c r="B54" s="40" t="inlineStr">
        <is>
          <t>業務要件（詳細）</t>
        </is>
      </c>
      <c r="C54" s="40" t="inlineStr">
        <is>
          <t>作業員入退場管理</t>
        </is>
      </c>
      <c r="D54" s="40" t="inlineStr">
        <is>
          <t>管理要件</t>
        </is>
      </c>
      <c r="E54" s="40" t="inlineStr">
        <is>
          <t>入退場ログの保存（労災時の在場証明）</t>
        </is>
      </c>
      <c r="F54" s="42" t="n"/>
      <c r="G54" s="44" t="n"/>
    </row>
    <row r="55" ht="16" customHeight="1" s="32">
      <c r="A55" s="39" t="n">
        <v>48</v>
      </c>
      <c r="B55" s="40" t="inlineStr">
        <is>
          <t>業務要件（詳細）</t>
        </is>
      </c>
      <c r="C55" s="40" t="inlineStr">
        <is>
          <t>作業員入退場管理</t>
        </is>
      </c>
      <c r="D55" s="40" t="inlineStr">
        <is>
          <t>管理要件</t>
        </is>
      </c>
      <c r="E55" s="40" t="inlineStr">
        <is>
          <t>協力会社別の施工体制台帳との整合確認</t>
        </is>
      </c>
      <c r="F55" s="42" t="n"/>
      <c r="G55" s="44" t="n"/>
    </row>
    <row r="56" ht="32" customHeight="1" s="32">
      <c r="A56" s="37" t="inlineStr">
        <is>
          <t>■ オフライン対応要件（最重要）</t>
        </is>
      </c>
      <c r="B56" s="38" t="n"/>
      <c r="C56" s="38" t="n"/>
      <c r="D56" s="38" t="n"/>
      <c r="E56" s="38" t="n"/>
      <c r="F56" s="38" t="n"/>
      <c r="G56" s="38" t="n"/>
    </row>
    <row r="57" ht="16" customHeight="1" s="32">
      <c r="A57" s="39" t="n">
        <v>49</v>
      </c>
      <c r="B57" s="40" t="inlineStr">
        <is>
          <t>オフライン対応要件（最重要）</t>
        </is>
      </c>
      <c r="C57" s="40" t="inlineStr">
        <is>
          <t>オフライン同期ルール</t>
        </is>
      </c>
      <c r="D57" s="44" t="n"/>
      <c r="E57" s="40" t="inlineStr">
        <is>
          <t>ネットワーク復帰を自動検知して同期開始</t>
        </is>
      </c>
      <c r="F57" s="42" t="n"/>
      <c r="G57" s="44" t="n"/>
    </row>
    <row r="58" ht="16" customHeight="1" s="32">
      <c r="A58" s="39" t="n">
        <v>50</v>
      </c>
      <c r="B58" s="40" t="inlineStr">
        <is>
          <t>オフライン対応要件（最重要）</t>
        </is>
      </c>
      <c r="C58" s="40" t="inlineStr">
        <is>
          <t>オフライン同期ルール</t>
        </is>
      </c>
      <c r="D58" s="44" t="n"/>
      <c r="E58" s="40" t="inlineStr">
        <is>
          <t>同期中はプログレスバーで進捗表示</t>
        </is>
      </c>
      <c r="F58" s="42" t="n"/>
      <c r="G58" s="44" t="n"/>
    </row>
    <row r="59" ht="16" customHeight="1" s="32">
      <c r="A59" s="39" t="n">
        <v>51</v>
      </c>
      <c r="B59" s="40" t="inlineStr">
        <is>
          <t>オフライン対応要件（最重要）</t>
        </is>
      </c>
      <c r="C59" s="40" t="inlineStr">
        <is>
          <t>オフライン同期ルール</t>
        </is>
      </c>
      <c r="D59" s="44" t="n"/>
      <c r="E59" s="40" t="inlineStr">
        <is>
          <t>コンフリクト発生時はユーザーに選択肢提示</t>
        </is>
      </c>
      <c r="F59" s="42" t="n"/>
      <c r="G59" s="44" t="n"/>
    </row>
    <row r="60" ht="16" customHeight="1" s="32">
      <c r="A60" s="39" t="n">
        <v>52</v>
      </c>
      <c r="B60" s="40" t="inlineStr">
        <is>
          <t>オフライン対応要件（最重要）</t>
        </is>
      </c>
      <c r="C60" s="40" t="inlineStr">
        <is>
          <t>オフライン同期ルール</t>
        </is>
      </c>
      <c r="D60" s="44" t="n"/>
      <c r="E60" s="40" t="inlineStr">
        <is>
          <t>写真はバックグラウンドでアップロード（WiFi優先）</t>
        </is>
      </c>
      <c r="F60" s="42" t="n"/>
      <c r="G60" s="44" t="n"/>
    </row>
    <row r="61" ht="16" customHeight="1" s="32">
      <c r="A61" s="39" t="n">
        <v>53</v>
      </c>
      <c r="B61" s="40" t="inlineStr">
        <is>
          <t>オフライン対応要件（最重要）</t>
        </is>
      </c>
      <c r="C61" s="40" t="inlineStr">
        <is>
          <t>オフライン同期ルール</t>
        </is>
      </c>
      <c r="D61" s="44" t="n"/>
      <c r="E61" s="40" t="inlineStr">
        <is>
          <t>同期失敗時はリトライ（最大5回、指数バックオフ）</t>
        </is>
      </c>
      <c r="F61" s="42" t="n"/>
      <c r="G61" s="44" t="n"/>
    </row>
    <row r="62" ht="16" customHeight="1" s="32">
      <c r="A62" s="37" t="inlineStr">
        <is>
          <t>■ 法規準拠要件</t>
        </is>
      </c>
      <c r="B62" s="38" t="n"/>
      <c r="C62" s="38" t="n"/>
      <c r="D62" s="38" t="n"/>
      <c r="E62" s="38" t="n"/>
      <c r="F62" s="38" t="n"/>
      <c r="G62" s="38" t="n"/>
    </row>
    <row r="63" ht="16" customHeight="1" s="32">
      <c r="A63" s="39" t="n">
        <v>54</v>
      </c>
      <c r="B63" s="40" t="inlineStr">
        <is>
          <t>法規準拠要件</t>
        </is>
      </c>
      <c r="C63" s="43" t="inlineStr">
        <is>
          <t>(テーブルデータ)</t>
        </is>
      </c>
      <c r="D63" s="44" t="n"/>
      <c r="E63" s="40" t="inlineStr">
        <is>
          <t>項目:文書ID | 内容:BIZ-SEK-001</t>
        </is>
      </c>
      <c r="F63" s="42" t="n"/>
      <c r="G63" s="44" t="n"/>
    </row>
    <row r="64" ht="16" customHeight="1" s="32">
      <c r="A64" s="39" t="n">
        <v>55</v>
      </c>
      <c r="B64" s="40" t="inlineStr">
        <is>
          <t>法規準拠要件</t>
        </is>
      </c>
      <c r="C64" s="43" t="inlineStr">
        <is>
          <t>(テーブルデータ)</t>
        </is>
      </c>
      <c r="D64" s="44" t="n"/>
      <c r="E64" s="40" t="inlineStr">
        <is>
          <t>項目:版数 | 内容:1.0</t>
        </is>
      </c>
      <c r="F64" s="42" t="n"/>
      <c r="G64" s="44" t="n"/>
    </row>
    <row r="65" ht="16" customHeight="1" s="32">
      <c r="A65" s="39" t="n">
        <v>56</v>
      </c>
      <c r="B65" s="40" t="inlineStr">
        <is>
          <t>法規準拠要件</t>
        </is>
      </c>
      <c r="C65" s="43" t="inlineStr">
        <is>
          <t>(テーブルデータ)</t>
        </is>
      </c>
      <c r="D65" s="44" t="n"/>
      <c r="E65" s="40" t="inlineStr">
        <is>
          <t>項目:作成日 | 内容:2026年5月16日</t>
        </is>
      </c>
      <c r="F65" s="42" t="n"/>
      <c r="G65" s="44" t="n"/>
    </row>
    <row r="66" ht="16" customHeight="1" s="32">
      <c r="A66" s="39" t="n">
        <v>57</v>
      </c>
      <c r="B66" s="40" t="inlineStr">
        <is>
          <t>法規準拠要件</t>
        </is>
      </c>
      <c r="C66" s="43" t="inlineStr">
        <is>
          <t>(テーブルデータ)</t>
        </is>
      </c>
      <c r="D66" s="44" t="n"/>
      <c r="E66" s="40" t="inlineStr">
        <is>
          <t>項目:対象部署 | 内容:施工本部 工事部</t>
        </is>
      </c>
      <c r="F66" s="42" t="n"/>
      <c r="G66" s="44" t="n"/>
    </row>
    <row r="67" ht="32" customHeight="1" s="32">
      <c r="A67" s="39" t="n">
        <v>58</v>
      </c>
      <c r="B67" s="40" t="inlineStr">
        <is>
          <t>法規準拠要件</t>
        </is>
      </c>
      <c r="C67" s="43" t="inlineStr">
        <is>
          <t>(テーブルデータ)</t>
        </is>
      </c>
      <c r="D67" s="44" t="n"/>
      <c r="E67" s="40" t="inlineStr">
        <is>
          <t>項目:対象システム | 内容:Construction Site Management System</t>
        </is>
      </c>
      <c r="F67" s="42" t="n"/>
      <c r="G67" s="44" t="n"/>
    </row>
    <row r="68" ht="16" customHeight="1" s="32">
      <c r="A68" s="39" t="n">
        <v>59</v>
      </c>
      <c r="B68" s="40" t="inlineStr">
        <is>
          <t>法規準拠要件</t>
        </is>
      </c>
      <c r="C68" s="43" t="inlineStr">
        <is>
          <t>(テーブルデータ)</t>
        </is>
      </c>
      <c r="D68" s="44" t="n"/>
      <c r="E68" s="40" t="inlineStr">
        <is>
          <t>役職:工事部長 | 人数（想定）:1名 | 主な業務:全社施工統括</t>
        </is>
      </c>
      <c r="F68" s="42" t="n"/>
      <c r="G68" s="44" t="n"/>
    </row>
    <row r="69" ht="16" customHeight="1" s="32">
      <c r="A69" s="39" t="n">
        <v>60</v>
      </c>
      <c r="B69" s="40" t="inlineStr">
        <is>
          <t>法規準拠要件</t>
        </is>
      </c>
      <c r="C69" s="43" t="inlineStr">
        <is>
          <t>(テーブルデータ)</t>
        </is>
      </c>
      <c r="D69" s="44" t="n"/>
      <c r="E69" s="40" t="inlineStr">
        <is>
          <t>役職:次長 | 人数（想定）:2名 | 主な業務:大型案件統括、支店指導</t>
        </is>
      </c>
      <c r="F69" s="42" t="n"/>
      <c r="G69" s="44" t="n"/>
    </row>
    <row r="70" ht="16" customHeight="1" s="32">
      <c r="A70" s="39" t="n">
        <v>61</v>
      </c>
      <c r="B70" s="40" t="inlineStr">
        <is>
          <t>法規準拠要件</t>
        </is>
      </c>
      <c r="C70" s="43" t="inlineStr">
        <is>
          <t>(テーブルデータ)</t>
        </is>
      </c>
      <c r="D70" s="44" t="n"/>
      <c r="E70" s="40" t="inlineStr">
        <is>
          <t>役職:工事課長 | 人数（想定）:3～5名 | 主な業務:複数現場の統括管理</t>
        </is>
      </c>
      <c r="F70" s="42" t="n"/>
      <c r="G70" s="44" t="n"/>
    </row>
    <row r="71" ht="16" customHeight="1" s="32">
      <c r="A71" s="39" t="n">
        <v>62</v>
      </c>
      <c r="B71" s="40" t="inlineStr">
        <is>
          <t>法規準拠要件</t>
        </is>
      </c>
      <c r="C71" s="43" t="inlineStr">
        <is>
          <t>(テーブルデータ)</t>
        </is>
      </c>
      <c r="D71" s="44" t="n"/>
      <c r="E71" s="40" t="inlineStr">
        <is>
          <t>役職:現場代理人 | 人数（想定）:案件数分 | 主な業務:現場常駐管理</t>
        </is>
      </c>
      <c r="F71" s="42" t="n"/>
      <c r="G71" s="44" t="n"/>
    </row>
    <row r="72" ht="16" customHeight="1" s="32">
      <c r="A72" s="39" t="n">
        <v>63</v>
      </c>
      <c r="B72" s="40" t="inlineStr">
        <is>
          <t>法規準拠要件</t>
        </is>
      </c>
      <c r="C72" s="43" t="inlineStr">
        <is>
          <t>(テーブルデータ)</t>
        </is>
      </c>
      <c r="D72" s="44" t="n"/>
      <c r="E72" s="40" t="inlineStr">
        <is>
          <t>役職:監理技術者 | 人数（想定）:案件数分 | 主な業務:技術的総合管理</t>
        </is>
      </c>
      <c r="F72" s="42" t="n"/>
      <c r="G72" s="44" t="n"/>
    </row>
    <row r="73" ht="16" customHeight="1" s="32">
      <c r="A73" s="39" t="n">
        <v>64</v>
      </c>
      <c r="B73" s="40" t="inlineStr">
        <is>
          <t>法規準拠要件</t>
        </is>
      </c>
      <c r="C73" s="43" t="inlineStr">
        <is>
          <t>(テーブルデータ)</t>
        </is>
      </c>
      <c r="D73" s="44" t="n"/>
      <c r="E73" s="40" t="inlineStr">
        <is>
          <t>役職:主任技術者 | 人数（想定）:案件数分 | 主な業務:施工技術管理</t>
        </is>
      </c>
      <c r="F73" s="42" t="n"/>
      <c r="G73" s="44" t="n"/>
    </row>
    <row r="74" ht="16" customHeight="1" s="32">
      <c r="A74" s="39" t="n">
        <v>65</v>
      </c>
      <c r="B74" s="40" t="inlineStr">
        <is>
          <t>法規準拠要件</t>
        </is>
      </c>
      <c r="C74" s="43" t="inlineStr">
        <is>
          <t>(テーブルデータ)</t>
        </is>
      </c>
      <c r="D74" s="44" t="n"/>
      <c r="E74" s="40" t="inlineStr">
        <is>
          <t>要件:工程表形式 | 詳細:バーチャート＋ネットワーク式（CPM対応）</t>
        </is>
      </c>
      <c r="F74" s="42" t="n"/>
      <c r="G74" s="44" t="n"/>
    </row>
    <row r="75" ht="16" customHeight="1" s="32">
      <c r="A75" s="39" t="n">
        <v>66</v>
      </c>
      <c r="B75" s="40" t="inlineStr">
        <is>
          <t>法規準拠要件</t>
        </is>
      </c>
      <c r="C75" s="43" t="inlineStr">
        <is>
          <t>(テーブルデータ)</t>
        </is>
      </c>
      <c r="D75" s="44" t="n"/>
      <c r="E75" s="40" t="inlineStr">
        <is>
          <t>要件:階層管理 | 詳細:大工程→中工程→小工程→日工程の4階層</t>
        </is>
      </c>
      <c r="F75" s="42" t="n"/>
      <c r="G75" s="44" t="n"/>
    </row>
    <row r="76" ht="16" customHeight="1" s="32">
      <c r="A76" s="39" t="n">
        <v>67</v>
      </c>
      <c r="B76" s="40" t="inlineStr">
        <is>
          <t>法規準拠要件</t>
        </is>
      </c>
      <c r="C76" s="43" t="inlineStr">
        <is>
          <t>(テーブルデータ)</t>
        </is>
      </c>
      <c r="D76" s="44" t="n"/>
      <c r="E76" s="40" t="inlineStr">
        <is>
          <t>要件:クリティカルパス | 詳細:自動算出・赤線表示</t>
        </is>
      </c>
      <c r="F76" s="42" t="n"/>
      <c r="G76" s="44" t="n"/>
    </row>
    <row r="77" ht="16" customHeight="1" s="32">
      <c r="A77" s="39" t="n">
        <v>68</v>
      </c>
      <c r="B77" s="40" t="inlineStr">
        <is>
          <t>法規準拠要件</t>
        </is>
      </c>
      <c r="C77" s="43" t="inlineStr">
        <is>
          <t>(テーブルデータ)</t>
        </is>
      </c>
      <c r="D77" s="44" t="n"/>
      <c r="E77" s="40" t="inlineStr">
        <is>
          <t>要件:マイルストーン | 詳細:発注者検査日・材料搬入日等の管理</t>
        </is>
      </c>
      <c r="F77" s="42" t="n"/>
      <c r="G77" s="44" t="n"/>
    </row>
    <row r="78" ht="16" customHeight="1" s="32">
      <c r="A78" s="39" t="n">
        <v>69</v>
      </c>
      <c r="B78" s="40" t="inlineStr">
        <is>
          <t>法規準拠要件</t>
        </is>
      </c>
      <c r="C78" s="43" t="inlineStr">
        <is>
          <t>(テーブルデータ)</t>
        </is>
      </c>
      <c r="D78" s="44" t="n"/>
      <c r="E78" s="40" t="inlineStr">
        <is>
          <t>要件:休工日管理 | 詳細:天候休工・祝日・自主休工の管理</t>
        </is>
      </c>
      <c r="F78" s="42" t="n"/>
      <c r="G78" s="44" t="n"/>
    </row>
    <row r="79" ht="16" customHeight="1" s="32">
      <c r="A79" s="39" t="n">
        <v>70</v>
      </c>
      <c r="B79" s="40" t="inlineStr">
        <is>
          <t>法規準拠要件</t>
        </is>
      </c>
      <c r="C79" s="43" t="inlineStr">
        <is>
          <t>(テーブルデータ)</t>
        </is>
      </c>
      <c r="D79" s="44" t="n"/>
      <c r="E79" s="40" t="inlineStr">
        <is>
          <t>要件:変更履歴 | 詳細:当初工程・変更工程のバージョン管理</t>
        </is>
      </c>
      <c r="F79" s="42" t="n"/>
      <c r="G79" s="44" t="n"/>
    </row>
    <row r="80" ht="16" customHeight="1" s="32">
      <c r="A80" s="39" t="n">
        <v>71</v>
      </c>
      <c r="B80" s="40" t="inlineStr">
        <is>
          <t>法規準拠要件</t>
        </is>
      </c>
      <c r="C80" s="43" t="inlineStr">
        <is>
          <t>(テーブルデータ)</t>
        </is>
      </c>
      <c r="D80" s="44" t="n"/>
      <c r="E80" s="40" t="inlineStr">
        <is>
          <t>項目:工種・種別・細別 | 説明:内訳書に基づく階層管理</t>
        </is>
      </c>
      <c r="F80" s="42" t="n"/>
      <c r="G80" s="44" t="n"/>
    </row>
    <row r="81" ht="16" customHeight="1" s="32">
      <c r="A81" s="39" t="n">
        <v>72</v>
      </c>
      <c r="B81" s="40" t="inlineStr">
        <is>
          <t>法規準拠要件</t>
        </is>
      </c>
      <c r="C81" s="43" t="inlineStr">
        <is>
          <t>(テーブルデータ)</t>
        </is>
      </c>
      <c r="D81" s="44" t="n"/>
      <c r="E81" s="40" t="inlineStr">
        <is>
          <t>項目:計画数量 | 説明:設計数量・契約数量</t>
        </is>
      </c>
      <c r="F81" s="42" t="n"/>
      <c r="G81" s="44" t="n"/>
    </row>
    <row r="82" ht="16" customHeight="1" s="32">
      <c r="A82" s="39" t="n">
        <v>73</v>
      </c>
      <c r="B82" s="40" t="inlineStr">
        <is>
          <t>法規準拠要件</t>
        </is>
      </c>
      <c r="C82" s="43" t="inlineStr">
        <is>
          <t>(テーブルデータ)</t>
        </is>
      </c>
      <c r="D82" s="44" t="n"/>
      <c r="E82" s="40" t="inlineStr">
        <is>
          <t>項目:当月実施数量 | 説明:当月の施工数量入力</t>
        </is>
      </c>
      <c r="F82" s="42" t="n"/>
      <c r="G82" s="44" t="n"/>
    </row>
    <row r="83" ht="16" customHeight="1" s="32">
      <c r="A83" s="39" t="n">
        <v>74</v>
      </c>
      <c r="B83" s="40" t="inlineStr">
        <is>
          <t>法規準拠要件</t>
        </is>
      </c>
      <c r="C83" s="43" t="inlineStr">
        <is>
          <t>(テーブルデータ)</t>
        </is>
      </c>
      <c r="D83" s="44" t="n"/>
      <c r="E83" s="40" t="inlineStr">
        <is>
          <t>項目:累計実施数量 | 説明:自動計算</t>
        </is>
      </c>
      <c r="F83" s="42" t="n"/>
      <c r="G83" s="44" t="n"/>
    </row>
    <row r="84" ht="16" customHeight="1" s="32">
      <c r="A84" s="39" t="n">
        <v>75</v>
      </c>
      <c r="B84" s="40" t="inlineStr">
        <is>
          <t>法規準拠要件</t>
        </is>
      </c>
      <c r="C84" s="43" t="inlineStr">
        <is>
          <t>(テーブルデータ)</t>
        </is>
      </c>
      <c r="D84" s="44" t="n"/>
      <c r="E84" s="40" t="inlineStr">
        <is>
          <t>項目:進捗率 | 説明:累計数量÷計画数量（自動計算）</t>
        </is>
      </c>
      <c r="F84" s="42" t="n"/>
      <c r="G84" s="44" t="n"/>
    </row>
    <row r="85" ht="16" customHeight="1" s="32">
      <c r="A85" s="39" t="n">
        <v>76</v>
      </c>
      <c r="B85" s="40" t="inlineStr">
        <is>
          <t>法規準拠要件</t>
        </is>
      </c>
      <c r="C85" s="43" t="inlineStr">
        <is>
          <t>(テーブルデータ)</t>
        </is>
      </c>
      <c r="D85" s="44" t="n"/>
      <c r="E85" s="40" t="inlineStr">
        <is>
          <t>項目:金額換算 | 説明:単価×数量（自動計算）</t>
        </is>
      </c>
      <c r="F85" s="42" t="n"/>
      <c r="G85" s="44" t="n"/>
    </row>
    <row r="86" ht="16" customHeight="1" s="32">
      <c r="A86" s="39" t="n">
        <v>77</v>
      </c>
      <c r="B86" s="40" t="inlineStr">
        <is>
          <t>法規準拠要件</t>
        </is>
      </c>
      <c r="C86" s="43" t="inlineStr">
        <is>
          <t>(テーブルデータ)</t>
        </is>
      </c>
      <c r="D86" s="44" t="n"/>
      <c r="E86" s="40" t="inlineStr">
        <is>
          <t>原価区分:労務費 | 入力項目:作業員数×単価、社員労務費 | 入力頻度:日次</t>
        </is>
      </c>
      <c r="F86" s="42" t="n"/>
      <c r="G86" s="44" t="n"/>
    </row>
    <row r="87" ht="16" customHeight="1" s="32">
      <c r="A87" s="39" t="n">
        <v>78</v>
      </c>
      <c r="B87" s="40" t="inlineStr">
        <is>
          <t>法規準拠要件</t>
        </is>
      </c>
      <c r="C87" s="43" t="inlineStr">
        <is>
          <t>(テーブルデータ)</t>
        </is>
      </c>
      <c r="D87" s="44" t="n"/>
      <c r="E87" s="40" t="inlineStr">
        <is>
          <t>原価区分:材料費 | 入力項目:材料名・数量・単価、納品伝票 | 入力頻度:都度</t>
        </is>
      </c>
      <c r="F87" s="42" t="n"/>
      <c r="G87" s="44" t="n"/>
    </row>
    <row r="88" ht="16" customHeight="1" s="32">
      <c r="A88" s="39" t="n">
        <v>79</v>
      </c>
      <c r="B88" s="40" t="inlineStr">
        <is>
          <t>法規準拠要件</t>
        </is>
      </c>
      <c r="C88" s="43" t="inlineStr">
        <is>
          <t>(テーブルデータ)</t>
        </is>
      </c>
      <c r="D88" s="44" t="n"/>
      <c r="E88" s="40" t="inlineStr">
        <is>
          <t>原価区分:外注費 | 入力項目:協力会社名・作業内容・金額 | 入力頻度:月次</t>
        </is>
      </c>
      <c r="F88" s="42" t="n"/>
      <c r="G88" s="44" t="n"/>
    </row>
    <row r="89" ht="16" customHeight="1" s="32">
      <c r="A89" s="39" t="n">
        <v>80</v>
      </c>
      <c r="B89" s="40" t="inlineStr">
        <is>
          <t>法規準拠要件</t>
        </is>
      </c>
      <c r="C89" s="43" t="inlineStr">
        <is>
          <t>(テーブルデータ)</t>
        </is>
      </c>
      <c r="D89" s="44" t="n"/>
      <c r="E89" s="40" t="inlineStr">
        <is>
          <t>原価区分:経費 | 入力項目:仮設費・動力費・運搬費等 | 入力頻度:月次</t>
        </is>
      </c>
      <c r="F89" s="42" t="n"/>
      <c r="G89" s="44" t="n"/>
    </row>
    <row r="90" ht="16" customHeight="1" s="32">
      <c r="A90" s="39" t="n">
        <v>81</v>
      </c>
      <c r="B90" s="40" t="inlineStr">
        <is>
          <t>法規準拠要件</t>
        </is>
      </c>
      <c r="C90" s="43" t="inlineStr">
        <is>
          <t>(テーブルデータ)</t>
        </is>
      </c>
      <c r="D90" s="44" t="n"/>
      <c r="E90" s="40" t="inlineStr">
        <is>
          <t>要件:撮影形式 | 詳細:JPEG（5MB以下推奨）、オリジナルサイズも保存</t>
        </is>
      </c>
      <c r="F90" s="42" t="n"/>
      <c r="G90" s="44" t="n"/>
    </row>
    <row r="91" ht="16" customHeight="1" s="32">
      <c r="A91" s="39" t="n">
        <v>82</v>
      </c>
      <c r="B91" s="40" t="inlineStr">
        <is>
          <t>法規準拠要件</t>
        </is>
      </c>
      <c r="C91" s="43" t="inlineStr">
        <is>
          <t>(テーブルデータ)</t>
        </is>
      </c>
      <c r="D91" s="44" t="n"/>
      <c r="E91" s="40" t="inlineStr">
        <is>
          <t>要件:位置情報 | 詳細:GPS座標自動取得（EXIF）</t>
        </is>
      </c>
      <c r="F91" s="42" t="n"/>
      <c r="G91" s="44" t="n"/>
    </row>
    <row r="92" ht="16" customHeight="1" s="32">
      <c r="A92" s="39" t="n">
        <v>83</v>
      </c>
      <c r="B92" s="40" t="inlineStr">
        <is>
          <t>法規準拠要件</t>
        </is>
      </c>
      <c r="C92" s="43" t="inlineStr">
        <is>
          <t>(テーブルデータ)</t>
        </is>
      </c>
      <c r="D92" s="44" t="n"/>
      <c r="E92" s="40" t="inlineStr">
        <is>
          <t>要件:日時情報 | 詳細:撮影日時自動取得（EXIF）</t>
        </is>
      </c>
      <c r="F92" s="42" t="n"/>
      <c r="G92" s="44" t="n"/>
    </row>
    <row r="93" ht="16" customHeight="1" s="32">
      <c r="A93" s="39" t="n">
        <v>84</v>
      </c>
      <c r="B93" s="40" t="inlineStr">
        <is>
          <t>法規準拠要件</t>
        </is>
      </c>
      <c r="C93" s="43" t="inlineStr">
        <is>
          <t>(テーブルデータ)</t>
        </is>
      </c>
      <c r="D93" s="44" t="n"/>
      <c r="E93" s="40" t="inlineStr">
        <is>
          <t>要件:分類タグ | 詳細:工種・測点・撮影目的で自動/手動タグ付け</t>
        </is>
      </c>
      <c r="F93" s="42" t="n"/>
      <c r="G93" s="44" t="n"/>
    </row>
    <row r="94" ht="16" customHeight="1" s="32">
      <c r="A94" s="39" t="n">
        <v>85</v>
      </c>
      <c r="B94" s="40" t="inlineStr">
        <is>
          <t>法規準拠要件</t>
        </is>
      </c>
      <c r="C94" s="43" t="inlineStr">
        <is>
          <t>(テーブルデータ)</t>
        </is>
      </c>
      <c r="D94" s="44" t="n"/>
      <c r="E94" s="40" t="inlineStr">
        <is>
          <t>要件:AI自動分類 | 詳細:撮影内容のAI画像認識による自動分類</t>
        </is>
      </c>
      <c r="F94" s="42" t="n"/>
      <c r="G94" s="44" t="n"/>
    </row>
    <row r="95" ht="16" customHeight="1" s="32">
      <c r="A95" s="39" t="n">
        <v>86</v>
      </c>
      <c r="B95" s="40" t="inlineStr">
        <is>
          <t>法規準拠要件</t>
        </is>
      </c>
      <c r="C95" s="43" t="inlineStr">
        <is>
          <t>(テーブルデータ)</t>
        </is>
      </c>
      <c r="D95" s="44" t="n"/>
      <c r="E95" s="40" t="inlineStr">
        <is>
          <t>要件:台帳生成 | 詳細:工事写真台帳の自動生成（国交省デジタル写真管理基準準拠）</t>
        </is>
      </c>
      <c r="F95" s="42" t="n"/>
      <c r="G95" s="44" t="n"/>
    </row>
    <row r="96" ht="16" customHeight="1" s="32">
      <c r="A96" s="39" t="n">
        <v>87</v>
      </c>
      <c r="B96" s="40" t="inlineStr">
        <is>
          <t>法規準拠要件</t>
        </is>
      </c>
      <c r="C96" s="43" t="inlineStr">
        <is>
          <t>(テーブルデータ)</t>
        </is>
      </c>
      <c r="D96" s="44" t="n"/>
      <c r="E96" s="40" t="inlineStr">
        <is>
          <t>記録項目:作業日 | 説明:実施日</t>
        </is>
      </c>
      <c r="F96" s="42" t="n"/>
      <c r="G96" s="44" t="n"/>
    </row>
    <row r="97" ht="16" customHeight="1" s="32">
      <c r="A97" s="39" t="n">
        <v>88</v>
      </c>
      <c r="B97" s="40" t="inlineStr">
        <is>
          <t>法規準拠要件</t>
        </is>
      </c>
      <c r="C97" s="43" t="inlineStr">
        <is>
          <t>(テーブルデータ)</t>
        </is>
      </c>
      <c r="D97" s="44" t="n"/>
      <c r="E97" s="40" t="inlineStr">
        <is>
          <t>記録項目:作業内容 | 説明:当日の主要作業</t>
        </is>
      </c>
      <c r="F97" s="42" t="n"/>
      <c r="G97" s="44" t="n"/>
    </row>
    <row r="98" ht="16" customHeight="1" s="32">
      <c r="A98" s="39" t="n">
        <v>89</v>
      </c>
      <c r="B98" s="40" t="inlineStr">
        <is>
          <t>法規準拠要件</t>
        </is>
      </c>
      <c r="C98" s="43" t="inlineStr">
        <is>
          <t>(テーブルデータ)</t>
        </is>
      </c>
      <c r="D98" s="44" t="n"/>
      <c r="E98" s="40" t="inlineStr">
        <is>
          <t>記録項目:参加者 | 説明:参加者全員の氏名</t>
        </is>
      </c>
      <c r="F98" s="42" t="n"/>
      <c r="G98" s="44" t="n"/>
    </row>
    <row r="99" ht="16" customHeight="1" s="32">
      <c r="A99" s="39" t="n">
        <v>90</v>
      </c>
      <c r="B99" s="40" t="inlineStr">
        <is>
          <t>法規準拠要件</t>
        </is>
      </c>
      <c r="C99" s="43" t="inlineStr">
        <is>
          <t>(テーブルデータ)</t>
        </is>
      </c>
      <c r="D99" s="44" t="n"/>
      <c r="E99" s="40" t="inlineStr">
        <is>
          <t>記録項目:危険要因 | 説明:予想される危険を列挙</t>
        </is>
      </c>
      <c r="F99" s="42" t="n"/>
      <c r="G99" s="44" t="n"/>
    </row>
    <row r="100" ht="16" customHeight="1" s="32">
      <c r="A100" s="39" t="n">
        <v>91</v>
      </c>
      <c r="B100" s="40" t="inlineStr">
        <is>
          <t>法規準拠要件</t>
        </is>
      </c>
      <c r="C100" s="43" t="inlineStr">
        <is>
          <t>(テーブルデータ)</t>
        </is>
      </c>
      <c r="D100" s="44" t="n"/>
      <c r="E100" s="40" t="inlineStr">
        <is>
          <t>記録項目:リスクランク | 説明:危険度の評価（A/B/C）</t>
        </is>
      </c>
      <c r="F100" s="42" t="n"/>
      <c r="G100" s="44" t="n"/>
    </row>
    <row r="101" ht="16" customHeight="1" s="32">
      <c r="A101" s="39" t="n">
        <v>92</v>
      </c>
      <c r="B101" s="40" t="inlineStr">
        <is>
          <t>法規準拠要件</t>
        </is>
      </c>
      <c r="C101" s="43" t="inlineStr">
        <is>
          <t>(テーブルデータ)</t>
        </is>
      </c>
      <c r="D101" s="44" t="n"/>
      <c r="E101" s="40" t="inlineStr">
        <is>
          <t>記録項目:対策 | 説明:各危険要因に対する対策</t>
        </is>
      </c>
      <c r="F101" s="42" t="n"/>
      <c r="G101" s="44" t="n"/>
    </row>
    <row r="102" ht="16" customHeight="1" s="32">
      <c r="A102" s="39" t="n">
        <v>93</v>
      </c>
      <c r="B102" s="40" t="inlineStr">
        <is>
          <t>法規準拠要件</t>
        </is>
      </c>
      <c r="C102" s="43" t="inlineStr">
        <is>
          <t>(テーブルデータ)</t>
        </is>
      </c>
      <c r="D102" s="44" t="n"/>
      <c r="E102" s="40" t="inlineStr">
        <is>
          <t>記録項目:行動目標 | 説明:全員で確認する安全行動目標</t>
        </is>
      </c>
      <c r="F102" s="42" t="n"/>
      <c r="G102" s="44" t="n"/>
    </row>
    <row r="103" ht="16" customHeight="1" s="32">
      <c r="A103" s="39" t="n">
        <v>94</v>
      </c>
      <c r="B103" s="40" t="inlineStr">
        <is>
          <t>法規準拠要件</t>
        </is>
      </c>
      <c r="C103" s="43" t="inlineStr">
        <is>
          <t>(テーブルデータ)</t>
        </is>
      </c>
      <c r="D103" s="44" t="n"/>
      <c r="E103" s="40" t="inlineStr">
        <is>
          <t>記録項目:リーダー確認 | 説明:班長/職長の確認サイン</t>
        </is>
      </c>
      <c r="F103" s="42" t="n"/>
      <c r="G103" s="44" t="n"/>
    </row>
    <row r="104" ht="16" customHeight="1" s="32">
      <c r="A104" s="39" t="n">
        <v>95</v>
      </c>
      <c r="B104" s="40" t="inlineStr">
        <is>
          <t>法規準拠要件</t>
        </is>
      </c>
      <c r="C104" s="43" t="inlineStr">
        <is>
          <t>(テーブルデータ)</t>
        </is>
      </c>
      <c r="D104" s="44" t="n"/>
      <c r="E104" s="40" t="inlineStr">
        <is>
          <t>方式:QRコード | 対象:作業員証のQRコード読取 | 精度:○</t>
        </is>
      </c>
      <c r="F104" s="42" t="n"/>
      <c r="G104" s="44" t="n"/>
    </row>
    <row r="105" ht="16" customHeight="1" s="32">
      <c r="A105" s="39" t="n">
        <v>96</v>
      </c>
      <c r="B105" s="40" t="inlineStr">
        <is>
          <t>法規準拠要件</t>
        </is>
      </c>
      <c r="C105" s="43" t="inlineStr">
        <is>
          <t>(テーブルデータ)</t>
        </is>
      </c>
      <c r="D105" s="44" t="n"/>
      <c r="E105" s="40" t="inlineStr">
        <is>
          <t>方式:NFC | 対象:ICカード読取 | 精度:○</t>
        </is>
      </c>
      <c r="F105" s="42" t="n"/>
      <c r="G105" s="44" t="n"/>
    </row>
    <row r="106" ht="16" customHeight="1" s="32">
      <c r="A106" s="39" t="n">
        <v>97</v>
      </c>
      <c r="B106" s="40" t="inlineStr">
        <is>
          <t>法規準拠要件</t>
        </is>
      </c>
      <c r="C106" s="43" t="inlineStr">
        <is>
          <t>(テーブルデータ)</t>
        </is>
      </c>
      <c r="D106" s="44" t="n"/>
      <c r="E106" s="40" t="inlineStr">
        <is>
          <t>方式:顔認証 | 対象:カメラによる顔認証（将来対応） | 精度:△</t>
        </is>
      </c>
      <c r="F106" s="42" t="n"/>
      <c r="G106" s="44" t="n"/>
    </row>
    <row r="107" ht="16" customHeight="1" s="32">
      <c r="A107" s="39" t="n">
        <v>98</v>
      </c>
      <c r="B107" s="40" t="inlineStr">
        <is>
          <t>法規準拠要件</t>
        </is>
      </c>
      <c r="C107" s="43" t="inlineStr">
        <is>
          <t>(テーブルデータ)</t>
        </is>
      </c>
      <c r="D107" s="44" t="n"/>
      <c r="E107" s="40" t="inlineStr">
        <is>
          <t>方式:手動入力 | 対象:上記が使えない場合 | 精度:△</t>
        </is>
      </c>
      <c r="F107" s="42" t="n"/>
      <c r="G107" s="44" t="n"/>
    </row>
    <row r="108" ht="16" customHeight="1" s="32">
      <c r="A108" s="39" t="n">
        <v>99</v>
      </c>
      <c r="B108" s="40" t="inlineStr">
        <is>
          <t>法規準拠要件</t>
        </is>
      </c>
      <c r="C108" s="43" t="inlineStr">
        <is>
          <t>(テーブルデータ)</t>
        </is>
      </c>
      <c r="D108" s="44" t="n"/>
      <c r="E108" s="40" t="inlineStr">
        <is>
          <t>項目:重機マスタ | 説明:機種・能力・所有/リース区分</t>
        </is>
      </c>
      <c r="F108" s="42" t="n"/>
      <c r="G108" s="44" t="n"/>
    </row>
    <row r="109" ht="16" customHeight="1" s="32">
      <c r="A109" s="39" t="n">
        <v>100</v>
      </c>
      <c r="B109" s="40" t="inlineStr">
        <is>
          <t>法規準拠要件</t>
        </is>
      </c>
      <c r="C109" s="43" t="inlineStr">
        <is>
          <t>(テーブルデータ)</t>
        </is>
      </c>
      <c r="D109" s="44" t="n"/>
      <c r="E109" s="40" t="inlineStr">
        <is>
          <t>項目:配置管理 | 説明:どの現場にどの重機が配置されているか</t>
        </is>
      </c>
      <c r="F109" s="42" t="n"/>
      <c r="G109" s="44" t="n"/>
    </row>
    <row r="110" ht="16" customHeight="1" s="32">
      <c r="A110" s="39" t="n">
        <v>101</v>
      </c>
      <c r="B110" s="40" t="inlineStr">
        <is>
          <t>法規準拠要件</t>
        </is>
      </c>
      <c r="C110" s="43" t="inlineStr">
        <is>
          <t>(テーブルデータ)</t>
        </is>
      </c>
      <c r="D110" s="44" t="n"/>
      <c r="E110" s="40" t="inlineStr">
        <is>
          <t>項目:稼働管理 | 説明:日次の稼働時間記録</t>
        </is>
      </c>
      <c r="F110" s="42" t="n"/>
      <c r="G110" s="44" t="n"/>
    </row>
    <row r="111" ht="16" customHeight="1" s="32">
      <c r="A111" s="39" t="n">
        <v>102</v>
      </c>
      <c r="B111" s="40" t="inlineStr">
        <is>
          <t>法規準拠要件</t>
        </is>
      </c>
      <c r="C111" s="43" t="inlineStr">
        <is>
          <t>(テーブルデータ)</t>
        </is>
      </c>
      <c r="D111" s="44" t="n"/>
      <c r="E111" s="40" t="inlineStr">
        <is>
          <t>項目:GPS追跡 | 説明:GPSトラッカーによるリアルタイム位置</t>
        </is>
      </c>
      <c r="F111" s="42" t="n"/>
      <c r="G111" s="44" t="n"/>
    </row>
    <row r="112" ht="16" customHeight="1" s="32">
      <c r="A112" s="39" t="n">
        <v>103</v>
      </c>
      <c r="B112" s="40" t="inlineStr">
        <is>
          <t>法規準拠要件</t>
        </is>
      </c>
      <c r="C112" s="43" t="inlineStr">
        <is>
          <t>(テーブルデータ)</t>
        </is>
      </c>
      <c r="D112" s="44" t="n"/>
      <c r="E112" s="40" t="inlineStr">
        <is>
          <t>項目:点検管理 | 説明:始業前点検・定期点検の記録</t>
        </is>
      </c>
      <c r="F112" s="42" t="n"/>
      <c r="G112" s="44" t="n"/>
    </row>
    <row r="113" ht="16" customHeight="1" s="32">
      <c r="A113" s="39" t="n">
        <v>104</v>
      </c>
      <c r="B113" s="40" t="inlineStr">
        <is>
          <t>法規準拠要件</t>
        </is>
      </c>
      <c r="C113" s="43" t="inlineStr">
        <is>
          <t>(テーブルデータ)</t>
        </is>
      </c>
      <c r="D113" s="44" t="n"/>
      <c r="E113" s="40" t="inlineStr">
        <is>
          <t>項目:燃料管理 | 説明:燃料消費量の記録</t>
        </is>
      </c>
      <c r="F113" s="42" t="n"/>
      <c r="G113" s="44" t="n"/>
    </row>
    <row r="114" ht="16" customHeight="1" s="32">
      <c r="A114" s="39" t="n">
        <v>105</v>
      </c>
      <c r="B114" s="40" t="inlineStr">
        <is>
          <t>法規準拠要件</t>
        </is>
      </c>
      <c r="C114" s="43" t="inlineStr">
        <is>
          <t>(テーブルデータ)</t>
        </is>
      </c>
      <c r="D114" s="44" t="n"/>
      <c r="E114" s="40" t="inlineStr">
        <is>
          <t>機能:日報入力 | オフライン対応:必須 | 理由:圏外現場での日次業務</t>
        </is>
      </c>
      <c r="F114" s="42" t="n"/>
      <c r="G114" s="44" t="n"/>
    </row>
    <row r="115" ht="16" customHeight="1" s="32">
      <c r="A115" s="39" t="n">
        <v>106</v>
      </c>
      <c r="B115" s="40" t="inlineStr">
        <is>
          <t>法規準拠要件</t>
        </is>
      </c>
      <c r="C115" s="43" t="inlineStr">
        <is>
          <t>(テーブルデータ)</t>
        </is>
      </c>
      <c r="D115" s="44" t="n"/>
      <c r="E115" s="40" t="inlineStr">
        <is>
          <t>機能:写真撮影・保存 | オフライン対応:必須 | 理由:施工記録の日常業務</t>
        </is>
      </c>
      <c r="F115" s="42" t="n"/>
      <c r="G115" s="44" t="n"/>
    </row>
    <row r="116" ht="16" customHeight="1" s="32">
      <c r="A116" s="39" t="n">
        <v>107</v>
      </c>
      <c r="B116" s="40" t="inlineStr">
        <is>
          <t>法規準拠要件</t>
        </is>
      </c>
      <c r="C116" s="43" t="inlineStr">
        <is>
          <t>(テーブルデータ)</t>
        </is>
      </c>
      <c r="D116" s="44" t="n"/>
      <c r="E116" s="40" t="inlineStr">
        <is>
          <t>機能:KY活動記録 | オフライン対応:必須 | 理由:毎朝の安全活動</t>
        </is>
      </c>
      <c r="F116" s="42" t="n"/>
      <c r="G116" s="44" t="n"/>
    </row>
    <row r="117" ht="16" customHeight="1" s="32">
      <c r="A117" s="39" t="n">
        <v>108</v>
      </c>
      <c r="B117" s="40" t="inlineStr">
        <is>
          <t>法規準拠要件</t>
        </is>
      </c>
      <c r="C117" s="43" t="inlineStr">
        <is>
          <t>(テーブルデータ)</t>
        </is>
      </c>
      <c r="D117" s="44" t="n"/>
      <c r="E117" s="40" t="inlineStr">
        <is>
          <t>機能:出来高入力 | オフライン対応:必須 | 理由:計測データの即時記録</t>
        </is>
      </c>
      <c r="F117" s="42" t="n"/>
      <c r="G117" s="44" t="n"/>
    </row>
    <row r="118" ht="16" customHeight="1" s="32">
      <c r="A118" s="39" t="n">
        <v>109</v>
      </c>
      <c r="B118" s="40" t="inlineStr">
        <is>
          <t>法規準拠要件</t>
        </is>
      </c>
      <c r="C118" s="43" t="inlineStr">
        <is>
          <t>(テーブルデータ)</t>
        </is>
      </c>
      <c r="D118" s="44" t="n"/>
      <c r="E118" s="40" t="inlineStr">
        <is>
          <t>機能:工程進捗入力 | オフライン対応:必須 | 理由:日次の進捗確認</t>
        </is>
      </c>
      <c r="F118" s="42" t="n"/>
      <c r="G118" s="44" t="n"/>
    </row>
    <row r="119" ht="16" customHeight="1" s="32">
      <c r="A119" s="39" t="n">
        <v>110</v>
      </c>
      <c r="B119" s="40" t="inlineStr">
        <is>
          <t>法規準拠要件</t>
        </is>
      </c>
      <c r="C119" s="43" t="inlineStr">
        <is>
          <t>(テーブルデータ)</t>
        </is>
      </c>
      <c r="D119" s="44" t="n"/>
      <c r="E119" s="40" t="inlineStr">
        <is>
          <t>機能:原価入力 | オフライン対応:必要 | 理由:材料・労務の日次記録</t>
        </is>
      </c>
      <c r="F119" s="42" t="n"/>
      <c r="G119" s="44" t="n"/>
    </row>
    <row r="120" ht="16" customHeight="1" s="32">
      <c r="A120" s="39" t="n">
        <v>111</v>
      </c>
      <c r="B120" s="40" t="inlineStr">
        <is>
          <t>法規準拠要件</t>
        </is>
      </c>
      <c r="C120" s="43" t="inlineStr">
        <is>
          <t>(テーブルデータ)</t>
        </is>
      </c>
      <c r="D120" s="44" t="n"/>
      <c r="E120" s="40" t="inlineStr">
        <is>
          <t>機能:入退場記録 | オフライン対応:必要 | 理由:QRコードオフライン読取</t>
        </is>
      </c>
      <c r="F120" s="42" t="n"/>
      <c r="G120" s="44" t="n"/>
    </row>
    <row r="121" ht="16" customHeight="1" s="32">
      <c r="A121" s="39" t="n">
        <v>112</v>
      </c>
      <c r="B121" s="40" t="inlineStr">
        <is>
          <t>法規準拠要件</t>
        </is>
      </c>
      <c r="C121" s="43" t="inlineStr">
        <is>
          <t>(テーブルデータ)</t>
        </is>
      </c>
      <c r="D121" s="44" t="n"/>
      <c r="E121" s="40" t="inlineStr">
        <is>
          <t>機能:重機管理 | オフライン対応:望ましい | 理由:始業前点検記録</t>
        </is>
      </c>
      <c r="F121" s="42" t="n"/>
      <c r="G121" s="44" t="n"/>
    </row>
    <row r="122" ht="16" customHeight="1" s="32">
      <c r="A122" s="39" t="n">
        <v>113</v>
      </c>
      <c r="B122" s="40" t="inlineStr">
        <is>
          <t>法規準拠要件</t>
        </is>
      </c>
      <c r="C122" s="43" t="inlineStr">
        <is>
          <t>(テーブルデータ)</t>
        </is>
      </c>
      <c r="D122" s="44" t="n"/>
      <c r="E122" s="40" t="inlineStr">
        <is>
          <t>法規:建設業法 | 対応内容:施工体制台帳・技術者配置の管理</t>
        </is>
      </c>
      <c r="F122" s="42" t="n"/>
      <c r="G122" s="44" t="n"/>
    </row>
    <row r="123" ht="16" customHeight="1" s="32">
      <c r="A123" s="39" t="n">
        <v>114</v>
      </c>
      <c r="B123" s="40" t="inlineStr">
        <is>
          <t>法規準拠要件</t>
        </is>
      </c>
      <c r="C123" s="43" t="inlineStr">
        <is>
          <t>(テーブルデータ)</t>
        </is>
      </c>
      <c r="D123" s="44" t="n"/>
      <c r="E123" s="40" t="inlineStr">
        <is>
          <t>法規:労働安全衛生法 | 対応内容:安全管理記録・KY活動記録</t>
        </is>
      </c>
      <c r="F123" s="42" t="n"/>
      <c r="G123" s="44" t="n"/>
    </row>
    <row r="124" ht="16" customHeight="1" s="32">
      <c r="A124" s="39" t="n">
        <v>115</v>
      </c>
      <c r="B124" s="40" t="inlineStr">
        <is>
          <t>法規準拠要件</t>
        </is>
      </c>
      <c r="C124" s="43" t="inlineStr">
        <is>
          <t>(テーブルデータ)</t>
        </is>
      </c>
      <c r="D124" s="44" t="n"/>
      <c r="E124" s="40" t="inlineStr">
        <is>
          <t>法規:品確法 | 対応内容:品質記録・出来形管理</t>
        </is>
      </c>
      <c r="F124" s="42" t="n"/>
      <c r="G124" s="44" t="n"/>
    </row>
    <row r="125" ht="16" customHeight="1" s="32">
      <c r="A125" s="39" t="n">
        <v>116</v>
      </c>
      <c r="B125" s="40" t="inlineStr">
        <is>
          <t>法規準拠要件</t>
        </is>
      </c>
      <c r="C125" s="43" t="inlineStr">
        <is>
          <t>(テーブルデータ)</t>
        </is>
      </c>
      <c r="D125" s="44" t="n"/>
      <c r="E125" s="40" t="inlineStr">
        <is>
          <t>法規:i-Construction 2.0 | 対応内容:ICT施工・3D出来形管理</t>
        </is>
      </c>
      <c r="F125" s="42" t="n"/>
      <c r="G125" s="44" t="n"/>
    </row>
    <row r="126" ht="16" customHeight="1" s="32">
      <c r="A126" s="39" t="n">
        <v>117</v>
      </c>
      <c r="B126" s="40" t="inlineStr">
        <is>
          <t>法規準拠要件</t>
        </is>
      </c>
      <c r="C126" s="43" t="inlineStr">
        <is>
          <t>(テーブルデータ)</t>
        </is>
      </c>
      <c r="D126" s="44" t="n"/>
      <c r="E126" s="40" t="inlineStr">
        <is>
          <t>法規:デジタル写真管理基準 | 対応内容:写真管理・電子納品</t>
        </is>
      </c>
      <c r="F126" s="42" t="n"/>
      <c r="G126" s="44" t="n"/>
    </row>
    <row r="127" ht="16" customHeight="1" s="32">
      <c r="A127" s="39" t="n">
        <v>118</v>
      </c>
      <c r="B127" s="40" t="inlineStr">
        <is>
          <t>法規準拠要件</t>
        </is>
      </c>
      <c r="C127" s="43" t="inlineStr">
        <is>
          <t>(テーブルデータ)</t>
        </is>
      </c>
      <c r="D127" s="44" t="n"/>
      <c r="E127" s="40" t="inlineStr">
        <is>
          <t>法規:CORINS | 対応内容:工事実績情報の管理</t>
        </is>
      </c>
      <c r="F127" s="42" t="n"/>
      <c r="G127" s="44" t="n"/>
    </row>
    <row r="128" ht="16" customHeight="1" s="32"/>
    <row r="129" ht="32" customHeight="1" s="32">
      <c r="A129" s="45" t="inlineStr">
        <is>
          <t>合計業務項目数: 118件</t>
        </is>
      </c>
    </row>
  </sheetData>
  <autoFilter ref="A4:G127"/>
  <mergeCells count="7">
    <mergeCell ref="A1:G1"/>
    <mergeCell ref="A56:G56"/>
    <mergeCell ref="A62:G62"/>
    <mergeCell ref="A20:G20"/>
    <mergeCell ref="A2:G2"/>
    <mergeCell ref="A11:G11"/>
    <mergeCell ref="A5:G5"/>
  </mergeCells>
  <printOptions horizontalCentered="0" verticalCentered="0" headings="0" gridLines="0" gridLinesSet="1"/>
  <pageMargins left="0.75" right="0.75" top="1" bottom="1" header="0.511811023622047" footer="0.511811023622047"/>
  <pageSetup orientation="landscape" paperSize="8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tabColor rgb="FFE94560"/>
    <outlinePr summaryBelow="1" summaryRight="1"/>
    <pageSetUpPr fitToPage="0"/>
  </sheetPr>
  <dimension ref="A1:K14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7" customWidth="1" style="31" min="1" max="1"/>
    <col width="20" customWidth="1" style="31" min="2" max="2"/>
    <col width="22" customWidth="1" style="31" min="3" max="3"/>
    <col width="52" customWidth="1" style="31" min="4" max="4"/>
    <col width="14" customWidth="1" style="31" min="5" max="5"/>
    <col width="36" customWidth="1" style="31" min="6" max="7"/>
    <col width="36" customWidth="1" style="32" min="7" max="7"/>
    <col width="14" customWidth="1" style="31" min="8" max="11"/>
    <col width="14" customWidth="1" style="32" min="9" max="9"/>
    <col width="14" customWidth="1" style="32" min="10" max="10"/>
    <col width="14" customWidth="1" style="32" min="11" max="11"/>
  </cols>
  <sheetData>
    <row r="1" ht="38" customHeight="1" s="32">
      <c r="A1" s="46" t="inlineStr">
        <is>
          <t>業務チェック確認シート — 施工本部_工事部</t>
        </is>
      </c>
    </row>
    <row r="2" ht="22" customHeight="1" s="32">
      <c r="A2" s="47" t="inlineStr">
        <is>
          <t>※ 各業務項目の内容を確認し、チェック欄に記入してください。修正・追加がある場合はコメント欄に記入してください。</t>
        </is>
      </c>
    </row>
    <row r="3" ht="24" customHeight="1" s="32">
      <c r="A3" s="48" t="inlineStr">
        <is>
          <t>【凡例】 確認結果: OK=内容に問題なし / NG=修正が必要 / 追加=新規業務の追加要望 / 削除=不要な業務 　　記入者欄に氏名・日付を記入</t>
        </is>
      </c>
    </row>
    <row r="5" ht="15" customHeight="1" s="32">
      <c r="A5" s="49" t="inlineStr">
        <is>
          <t>No.</t>
        </is>
      </c>
      <c r="B5" s="50" t="inlineStr">
        <is>
          <t>大分類</t>
        </is>
      </c>
      <c r="C5" s="50" t="inlineStr">
        <is>
          <t>中分類</t>
        </is>
      </c>
      <c r="D5" s="50" t="inlineStr">
        <is>
          <t>業務項目</t>
        </is>
      </c>
      <c r="E5" s="50" t="inlineStr">
        <is>
          <t>確認結果</t>
        </is>
      </c>
      <c r="F5" s="50" t="inlineStr">
        <is>
          <t>修正内容・コメント</t>
        </is>
      </c>
      <c r="G5" s="50" t="inlineStr">
        <is>
          <t>追加業務（新規）</t>
        </is>
      </c>
      <c r="H5" s="50" t="inlineStr">
        <is>
          <t>優先度評価</t>
        </is>
      </c>
      <c r="I5" s="50" t="inlineStr">
        <is>
          <t>記入者</t>
        </is>
      </c>
      <c r="J5" s="50" t="inlineStr">
        <is>
          <t>記入日</t>
        </is>
      </c>
      <c r="K5" s="50" t="inlineStr">
        <is>
          <t>承認者</t>
        </is>
      </c>
    </row>
    <row r="6" ht="16" customHeight="1" s="32">
      <c r="A6" s="51" t="inlineStr">
        <is>
          <t>■ 部署概要</t>
        </is>
      </c>
      <c r="B6" s="52" t="n"/>
      <c r="C6" s="52" t="n"/>
      <c r="D6" s="52" t="n"/>
      <c r="E6" s="53" t="n"/>
      <c r="F6" s="52" t="n"/>
      <c r="G6" s="52" t="n"/>
      <c r="H6" s="53" t="n"/>
      <c r="I6" s="53" t="n"/>
      <c r="J6" s="53" t="n"/>
      <c r="K6" s="53" t="n"/>
    </row>
    <row r="7" ht="16" customHeight="1" s="32">
      <c r="A7" s="54" t="n">
        <v>1</v>
      </c>
      <c r="B7" s="40" t="inlineStr">
        <is>
          <t>部署概要</t>
        </is>
      </c>
      <c r="C7" s="40" t="inlineStr">
        <is>
          <t>部署ミッション</t>
        </is>
      </c>
      <c r="D7" s="40" t="inlineStr">
        <is>
          <t>全施工現場の工程通りの完成</t>
        </is>
      </c>
      <c r="E7" s="54" t="n"/>
      <c r="F7" s="43" t="n"/>
      <c r="G7" s="43" t="n"/>
      <c r="H7" s="54" t="n"/>
      <c r="I7" s="54" t="n"/>
      <c r="J7" s="54" t="n"/>
      <c r="K7" s="54" t="n"/>
    </row>
    <row r="8" ht="16" customHeight="1" s="32">
      <c r="A8" s="54" t="n">
        <v>2</v>
      </c>
      <c r="B8" s="40" t="inlineStr">
        <is>
          <t>部署概要</t>
        </is>
      </c>
      <c r="C8" s="40" t="inlineStr">
        <is>
          <t>部署ミッション</t>
        </is>
      </c>
      <c r="D8" s="40" t="inlineStr">
        <is>
          <t>原価管理による利益確保</t>
        </is>
      </c>
      <c r="E8" s="54" t="n"/>
      <c r="F8" s="43" t="n"/>
      <c r="G8" s="43" t="n"/>
      <c r="H8" s="54" t="n"/>
      <c r="I8" s="54" t="n"/>
      <c r="J8" s="54" t="n"/>
      <c r="K8" s="54" t="n"/>
    </row>
    <row r="9" ht="16" customHeight="1" s="32">
      <c r="A9" s="54" t="n">
        <v>3</v>
      </c>
      <c r="B9" s="40" t="inlineStr">
        <is>
          <t>部署概要</t>
        </is>
      </c>
      <c r="C9" s="40" t="inlineStr">
        <is>
          <t>部署ミッション</t>
        </is>
      </c>
      <c r="D9" s="40" t="inlineStr">
        <is>
          <t>品質基準の遵守と品質向上</t>
        </is>
      </c>
      <c r="E9" s="54" t="n"/>
      <c r="F9" s="43" t="n"/>
      <c r="G9" s="43" t="n"/>
      <c r="H9" s="54" t="n"/>
      <c r="I9" s="54" t="n"/>
      <c r="J9" s="54" t="n"/>
      <c r="K9" s="54" t="n"/>
    </row>
    <row r="10" ht="16" customHeight="1" s="32">
      <c r="A10" s="54" t="n">
        <v>4</v>
      </c>
      <c r="B10" s="40" t="inlineStr">
        <is>
          <t>部署概要</t>
        </is>
      </c>
      <c r="C10" s="40" t="inlineStr">
        <is>
          <t>部署ミッション</t>
        </is>
      </c>
      <c r="D10" s="40" t="inlineStr">
        <is>
          <t>労働災害ゼロの達成</t>
        </is>
      </c>
      <c r="E10" s="54" t="n"/>
      <c r="F10" s="43" t="n"/>
      <c r="G10" s="43" t="n"/>
      <c r="H10" s="54" t="n"/>
      <c r="I10" s="54" t="n"/>
      <c r="J10" s="54" t="n"/>
      <c r="K10" s="54" t="n"/>
    </row>
    <row r="11" ht="16" customHeight="1" s="32">
      <c r="A11" s="54" t="n">
        <v>5</v>
      </c>
      <c r="B11" s="40" t="inlineStr">
        <is>
          <t>部署概要</t>
        </is>
      </c>
      <c r="C11" s="40" t="inlineStr">
        <is>
          <t>部署ミッション</t>
        </is>
      </c>
      <c r="D11" s="43" t="inlineStr">
        <is>
          <t>i-Construction 2.0対応のICT施工推進</t>
        </is>
      </c>
      <c r="E11" s="54" t="n"/>
      <c r="F11" s="43" t="n"/>
      <c r="G11" s="43" t="n"/>
      <c r="H11" s="54" t="n"/>
      <c r="I11" s="54" t="n"/>
      <c r="J11" s="54" t="n"/>
      <c r="K11" s="54" t="n"/>
    </row>
    <row r="12" ht="32" customHeight="1" s="32">
      <c r="A12" s="51" t="inlineStr">
        <is>
          <t>■ 現行業務フロー</t>
        </is>
      </c>
      <c r="B12" s="52" t="n"/>
      <c r="C12" s="52" t="n"/>
      <c r="D12" s="52" t="n"/>
      <c r="E12" s="53" t="n"/>
      <c r="F12" s="52" t="n"/>
      <c r="G12" s="52" t="n"/>
      <c r="H12" s="53" t="n"/>
      <c r="I12" s="53" t="n"/>
      <c r="J12" s="53" t="n"/>
      <c r="K12" s="53" t="n"/>
    </row>
    <row r="13" ht="16" customHeight="1" s="32">
      <c r="A13" s="54" t="n">
        <v>6</v>
      </c>
      <c r="B13" s="40" t="inlineStr">
        <is>
          <t>現行業務フロー</t>
        </is>
      </c>
      <c r="C13" s="40" t="inlineStr">
        <is>
          <t>工程管理業務</t>
        </is>
      </c>
      <c r="D13" s="40" t="inlineStr">
        <is>
          <t>工程表がExcelで作成されており、リアルタイム更新困難</t>
        </is>
      </c>
      <c r="E13" s="54" t="n"/>
      <c r="F13" s="43" t="n"/>
      <c r="G13" s="43" t="n"/>
      <c r="H13" s="54" t="n"/>
      <c r="I13" s="54" t="n"/>
      <c r="J13" s="54" t="n"/>
      <c r="K13" s="54" t="n"/>
    </row>
    <row r="14" ht="16" customHeight="1" s="32">
      <c r="A14" s="54" t="n">
        <v>7</v>
      </c>
      <c r="B14" s="40" t="inlineStr">
        <is>
          <t>現行業務フロー</t>
        </is>
      </c>
      <c r="C14" s="40" t="inlineStr">
        <is>
          <t>工程管理業務</t>
        </is>
      </c>
      <c r="D14" s="40" t="inlineStr">
        <is>
          <t>現場からの進捗報告が電話・FAXで本社への伝達が遅い</t>
        </is>
      </c>
      <c r="E14" s="54" t="n"/>
      <c r="F14" s="43" t="n"/>
      <c r="G14" s="43" t="n"/>
      <c r="H14" s="54" t="n"/>
      <c r="I14" s="54" t="n"/>
      <c r="J14" s="54" t="n"/>
      <c r="K14" s="54" t="n"/>
    </row>
    <row r="15" ht="16" customHeight="1" s="32">
      <c r="A15" s="54" t="n">
        <v>8</v>
      </c>
      <c r="B15" s="40" t="inlineStr">
        <is>
          <t>現行業務フロー</t>
        </is>
      </c>
      <c r="C15" s="40" t="inlineStr">
        <is>
          <t>工程管理業務</t>
        </is>
      </c>
      <c r="D15" s="40" t="inlineStr">
        <is>
          <t>複数現場の進捗を横断的に把握できない</t>
        </is>
      </c>
      <c r="E15" s="54" t="n"/>
      <c r="F15" s="43" t="n"/>
      <c r="G15" s="43" t="n"/>
      <c r="H15" s="54" t="n"/>
      <c r="I15" s="54" t="n"/>
      <c r="J15" s="54" t="n"/>
      <c r="K15" s="54" t="n"/>
    </row>
    <row r="16" ht="16" customHeight="1" s="32">
      <c r="A16" s="54" t="n">
        <v>9</v>
      </c>
      <c r="B16" s="40" t="inlineStr">
        <is>
          <t>現行業務フロー</t>
        </is>
      </c>
      <c r="C16" s="40" t="inlineStr">
        <is>
          <t>工程管理業務</t>
        </is>
      </c>
      <c r="D16" s="40" t="inlineStr">
        <is>
          <t>天候による工程影響の予測ができない</t>
        </is>
      </c>
      <c r="E16" s="54" t="n"/>
      <c r="F16" s="43" t="n"/>
      <c r="G16" s="43" t="n"/>
      <c r="H16" s="54" t="n"/>
      <c r="I16" s="54" t="n"/>
      <c r="J16" s="54" t="n"/>
      <c r="K16" s="54" t="n"/>
    </row>
    <row r="17" ht="16" customHeight="1" s="32">
      <c r="A17" s="54" t="n">
        <v>10</v>
      </c>
      <c r="B17" s="40" t="inlineStr">
        <is>
          <t>現行業務フロー</t>
        </is>
      </c>
      <c r="C17" s="40" t="inlineStr">
        <is>
          <t>日報管理業務</t>
        </is>
      </c>
      <c r="D17" s="40" t="inlineStr">
        <is>
          <t>手書き日報の転記作業が非効率</t>
        </is>
      </c>
      <c r="E17" s="54" t="n"/>
      <c r="F17" s="43" t="n"/>
      <c r="G17" s="43" t="n"/>
      <c r="H17" s="54" t="n"/>
      <c r="I17" s="54" t="n"/>
      <c r="J17" s="54" t="n"/>
      <c r="K17" s="54" t="n"/>
    </row>
    <row r="18" ht="16" customHeight="1" s="32">
      <c r="A18" s="54" t="n">
        <v>11</v>
      </c>
      <c r="B18" s="40" t="inlineStr">
        <is>
          <t>現行業務フロー</t>
        </is>
      </c>
      <c r="C18" s="40" t="inlineStr">
        <is>
          <t>日報管理業務</t>
        </is>
      </c>
      <c r="D18" s="40" t="inlineStr">
        <is>
          <t>圏外現場での電子入力ができない（最重要課題）</t>
        </is>
      </c>
      <c r="E18" s="54" t="n"/>
      <c r="F18" s="43" t="n"/>
      <c r="G18" s="43" t="n"/>
      <c r="H18" s="54" t="n"/>
      <c r="I18" s="54" t="n"/>
      <c r="J18" s="54" t="n"/>
      <c r="K18" s="54" t="n"/>
    </row>
    <row r="19" ht="16" customHeight="1" s="32">
      <c r="A19" s="54" t="n">
        <v>12</v>
      </c>
      <c r="B19" s="40" t="inlineStr">
        <is>
          <t>現行業務フロー</t>
        </is>
      </c>
      <c r="C19" s="40" t="inlineStr">
        <is>
          <t>日報管理業務</t>
        </is>
      </c>
      <c r="D19" s="40" t="inlineStr">
        <is>
          <t>写真との紐づけが手動</t>
        </is>
      </c>
      <c r="E19" s="54" t="n"/>
      <c r="F19" s="43" t="n"/>
      <c r="G19" s="43" t="n"/>
      <c r="H19" s="54" t="n"/>
      <c r="I19" s="54" t="n"/>
      <c r="J19" s="54" t="n"/>
      <c r="K19" s="54" t="n"/>
    </row>
    <row r="20" ht="16" customHeight="1" s="32">
      <c r="A20" s="54" t="n">
        <v>13</v>
      </c>
      <c r="B20" s="40" t="inlineStr">
        <is>
          <t>現行業務フロー</t>
        </is>
      </c>
      <c r="C20" s="40" t="inlineStr">
        <is>
          <t>日報管理業務</t>
        </is>
      </c>
      <c r="D20" s="40" t="inlineStr">
        <is>
          <t>日報データの全社集約・分析ができない</t>
        </is>
      </c>
      <c r="E20" s="54" t="n"/>
      <c r="F20" s="43" t="n"/>
      <c r="G20" s="43" t="n"/>
      <c r="H20" s="54" t="n"/>
      <c r="I20" s="54" t="n"/>
      <c r="J20" s="54" t="n"/>
      <c r="K20" s="54" t="n"/>
    </row>
    <row r="21" ht="32" customHeight="1" s="32">
      <c r="A21" s="51" t="inlineStr">
        <is>
          <t>■ 業務要件（詳細）</t>
        </is>
      </c>
      <c r="B21" s="52" t="n"/>
      <c r="C21" s="52" t="n"/>
      <c r="D21" s="52" t="n"/>
      <c r="E21" s="53" t="n"/>
      <c r="F21" s="52" t="n"/>
      <c r="G21" s="52" t="n"/>
      <c r="H21" s="53" t="n"/>
      <c r="I21" s="53" t="n"/>
      <c r="J21" s="53" t="n"/>
      <c r="K21" s="53" t="n"/>
    </row>
    <row r="22" ht="16" customHeight="1" s="32">
      <c r="A22" s="54" t="n">
        <v>14</v>
      </c>
      <c r="B22" s="40" t="inlineStr">
        <is>
          <t>業務要件（詳細）</t>
        </is>
      </c>
      <c r="C22" s="40" t="inlineStr">
        <is>
          <t>工程管理</t>
        </is>
      </c>
      <c r="D22" s="40" t="inlineStr">
        <is>
          <t>気象庁APIとの連携による天気予報表示</t>
        </is>
      </c>
      <c r="E22" s="54" t="n"/>
      <c r="F22" s="43" t="n"/>
      <c r="G22" s="43" t="n"/>
      <c r="H22" s="54" t="n"/>
      <c r="I22" s="54" t="n"/>
      <c r="J22" s="54" t="n"/>
      <c r="K22" s="54" t="n"/>
    </row>
    <row r="23" ht="16" customHeight="1" s="32">
      <c r="A23" s="54" t="n">
        <v>15</v>
      </c>
      <c r="B23" s="40" t="inlineStr">
        <is>
          <t>業務要件（詳細）</t>
        </is>
      </c>
      <c r="C23" s="40" t="inlineStr">
        <is>
          <t>工程管理</t>
        </is>
      </c>
      <c r="D23" s="40" t="inlineStr">
        <is>
          <t>天候による作業可否の自動判定ルール設定</t>
        </is>
      </c>
      <c r="E23" s="54" t="n"/>
      <c r="F23" s="43" t="n"/>
      <c r="G23" s="43" t="n"/>
      <c r="H23" s="54" t="n"/>
      <c r="I23" s="54" t="n"/>
      <c r="J23" s="54" t="n"/>
      <c r="K23" s="54" t="n"/>
    </row>
    <row r="24" ht="16" customHeight="1" s="32">
      <c r="A24" s="54" t="n">
        <v>16</v>
      </c>
      <c r="B24" s="40" t="inlineStr">
        <is>
          <t>業務要件（詳細）</t>
        </is>
      </c>
      <c r="C24" s="40" t="inlineStr">
        <is>
          <t>工程管理</t>
        </is>
      </c>
      <c r="D24" s="40" t="inlineStr">
        <is>
          <t>天候予測に基づく工程影響のAI分析</t>
        </is>
      </c>
      <c r="E24" s="54" t="n"/>
      <c r="F24" s="43" t="n"/>
      <c r="G24" s="43" t="n"/>
      <c r="H24" s="54" t="n"/>
      <c r="I24" s="54" t="n"/>
      <c r="J24" s="54" t="n"/>
      <c r="K24" s="54" t="n"/>
    </row>
    <row r="25" ht="16" customHeight="1" s="32">
      <c r="A25" s="54" t="n">
        <v>17</v>
      </c>
      <c r="B25" s="40" t="inlineStr">
        <is>
          <t>業務要件（詳細）</t>
        </is>
      </c>
      <c r="C25" s="40" t="inlineStr">
        <is>
          <t>工程管理</t>
        </is>
      </c>
      <c r="D25" s="40" t="inlineStr">
        <is>
          <t>各現場からの日次進捗入力（オフライン対応必須）</t>
        </is>
      </c>
      <c r="E25" s="54" t="n"/>
      <c r="F25" s="43" t="n"/>
      <c r="G25" s="43" t="n"/>
      <c r="H25" s="54" t="n"/>
      <c r="I25" s="54" t="n"/>
      <c r="J25" s="54" t="n"/>
      <c r="K25" s="54" t="n"/>
    </row>
    <row r="26" ht="16" customHeight="1" s="32">
      <c r="A26" s="54" t="n">
        <v>18</v>
      </c>
      <c r="B26" s="40" t="inlineStr">
        <is>
          <t>業務要件（詳細）</t>
        </is>
      </c>
      <c r="C26" s="40" t="inlineStr">
        <is>
          <t>工程管理</t>
        </is>
      </c>
      <c r="D26" s="40" t="inlineStr">
        <is>
          <t>計画進捗率vs実績進捗率のイナズマ線表示</t>
        </is>
      </c>
      <c r="E26" s="54" t="n"/>
      <c r="F26" s="43" t="n"/>
      <c r="G26" s="43" t="n"/>
      <c r="H26" s="54" t="n"/>
      <c r="I26" s="54" t="n"/>
      <c r="J26" s="54" t="n"/>
      <c r="K26" s="54" t="n"/>
    </row>
    <row r="27" ht="16" customHeight="1" s="32">
      <c r="A27" s="54" t="n">
        <v>19</v>
      </c>
      <c r="B27" s="40" t="inlineStr">
        <is>
          <t>業務要件（詳細）</t>
        </is>
      </c>
      <c r="C27" s="40" t="inlineStr">
        <is>
          <t>工程管理</t>
        </is>
      </c>
      <c r="D27" s="40" t="inlineStr">
        <is>
          <t>遅延アラート（計画比7日以上遅延で自動通知）</t>
        </is>
      </c>
      <c r="E27" s="54" t="n"/>
      <c r="F27" s="43" t="n"/>
      <c r="G27" s="43" t="n"/>
      <c r="H27" s="54" t="n"/>
      <c r="I27" s="54" t="n"/>
      <c r="J27" s="54" t="n"/>
      <c r="K27" s="54" t="n"/>
    </row>
    <row r="28" ht="16" customHeight="1" s="32">
      <c r="A28" s="54" t="n">
        <v>20</v>
      </c>
      <c r="B28" s="40" t="inlineStr">
        <is>
          <t>業務要件（詳細）</t>
        </is>
      </c>
      <c r="C28" s="40" t="inlineStr">
        <is>
          <t>工程管理</t>
        </is>
      </c>
      <c r="D28" s="40" t="inlineStr">
        <is>
          <t>工事部長への週次サマリー自動生成</t>
        </is>
      </c>
      <c r="E28" s="54" t="n"/>
      <c r="F28" s="43" t="n"/>
      <c r="G28" s="43" t="n"/>
      <c r="H28" s="54" t="n"/>
      <c r="I28" s="54" t="n"/>
      <c r="J28" s="54" t="n"/>
      <c r="K28" s="54" t="n"/>
    </row>
    <row r="29" ht="16" customHeight="1" s="32">
      <c r="A29" s="54" t="n">
        <v>21</v>
      </c>
      <c r="B29" s="40" t="inlineStr">
        <is>
          <t>業務要件（詳細）</t>
        </is>
      </c>
      <c r="C29" s="40" t="inlineStr">
        <is>
          <t>出来高管理</t>
        </is>
      </c>
      <c r="D29" s="40" t="inlineStr">
        <is>
          <t>出来形管理図の自動生成（規格値との比較）</t>
        </is>
      </c>
      <c r="E29" s="54" t="n"/>
      <c r="F29" s="43" t="n"/>
      <c r="G29" s="43" t="n"/>
      <c r="H29" s="54" t="n"/>
      <c r="I29" s="54" t="n"/>
      <c r="J29" s="54" t="n"/>
      <c r="K29" s="54" t="n"/>
    </row>
    <row r="30" ht="16" customHeight="1" s="32">
      <c r="A30" s="54" t="n">
        <v>22</v>
      </c>
      <c r="B30" s="40" t="inlineStr">
        <is>
          <t>業務要件（詳細）</t>
        </is>
      </c>
      <c r="C30" s="40" t="inlineStr">
        <is>
          <t>出来高管理</t>
        </is>
      </c>
      <c r="D30" s="40" t="inlineStr">
        <is>
          <t>設計値・規格値・実測値の一覧表</t>
        </is>
      </c>
      <c r="E30" s="54" t="n"/>
      <c r="F30" s="43" t="n"/>
      <c r="G30" s="43" t="n"/>
      <c r="H30" s="54" t="n"/>
      <c r="I30" s="54" t="n"/>
      <c r="J30" s="54" t="n"/>
      <c r="K30" s="54" t="n"/>
    </row>
    <row r="31" ht="16" customHeight="1" s="32">
      <c r="A31" s="54" t="n">
        <v>23</v>
      </c>
      <c r="B31" s="40" t="inlineStr">
        <is>
          <t>業務要件（詳細）</t>
        </is>
      </c>
      <c r="C31" s="40" t="inlineStr">
        <is>
          <t>出来高管理</t>
        </is>
      </c>
      <c r="D31" s="43" t="inlineStr">
        <is>
          <t>i-Construction対応の3次元出来形管理</t>
        </is>
      </c>
      <c r="E31" s="54" t="n"/>
      <c r="F31" s="43" t="n"/>
      <c r="G31" s="43" t="n"/>
      <c r="H31" s="54" t="n"/>
      <c r="I31" s="54" t="n"/>
      <c r="J31" s="54" t="n"/>
      <c r="K31" s="54" t="n"/>
    </row>
    <row r="32" ht="16" customHeight="1" s="32">
      <c r="A32" s="54" t="n">
        <v>24</v>
      </c>
      <c r="B32" s="40" t="inlineStr">
        <is>
          <t>業務要件（詳細）</t>
        </is>
      </c>
      <c r="C32" s="40" t="inlineStr">
        <is>
          <t>出来高管理</t>
        </is>
      </c>
      <c r="D32" s="40" t="inlineStr">
        <is>
          <t>ドローン測量データとの連携による面的出来形管理</t>
        </is>
      </c>
      <c r="E32" s="54" t="n"/>
      <c r="F32" s="43" t="n"/>
      <c r="G32" s="43" t="n"/>
      <c r="H32" s="54" t="n"/>
      <c r="I32" s="54" t="n"/>
      <c r="J32" s="54" t="n"/>
      <c r="K32" s="54" t="n"/>
    </row>
    <row r="33" ht="16" customHeight="1" s="32">
      <c r="A33" s="54" t="n">
        <v>25</v>
      </c>
      <c r="B33" s="40" t="inlineStr">
        <is>
          <t>業務要件（詳細）</t>
        </is>
      </c>
      <c r="C33" s="40" t="inlineStr">
        <is>
          <t>出来高管理</t>
        </is>
      </c>
      <c r="D33" s="40" t="inlineStr">
        <is>
          <t>月末の出来高集計→発注者への出来高請求書生成</t>
        </is>
      </c>
      <c r="E33" s="54" t="n"/>
      <c r="F33" s="43" t="n"/>
      <c r="G33" s="43" t="n"/>
      <c r="H33" s="54" t="n"/>
      <c r="I33" s="54" t="n"/>
      <c r="J33" s="54" t="n"/>
      <c r="K33" s="54" t="n"/>
    </row>
    <row r="34" ht="16" customHeight="1" s="32">
      <c r="A34" s="54" t="n">
        <v>26</v>
      </c>
      <c r="B34" s="40" t="inlineStr">
        <is>
          <t>業務要件（詳細）</t>
        </is>
      </c>
      <c r="C34" s="40" t="inlineStr">
        <is>
          <t>出来高管理</t>
        </is>
      </c>
      <c r="D34" s="40" t="inlineStr">
        <is>
          <t>出来高推移グラフ（S字カーブ）</t>
        </is>
      </c>
      <c r="E34" s="54" t="n"/>
      <c r="F34" s="43" t="n"/>
      <c r="G34" s="43" t="n"/>
      <c r="H34" s="54" t="n"/>
      <c r="I34" s="54" t="n"/>
      <c r="J34" s="54" t="n"/>
      <c r="K34" s="54" t="n"/>
    </row>
    <row r="35" ht="16" customHeight="1" s="32">
      <c r="A35" s="54" t="n">
        <v>27</v>
      </c>
      <c r="B35" s="40" t="inlineStr">
        <is>
          <t>業務要件（詳細）</t>
        </is>
      </c>
      <c r="C35" s="40" t="inlineStr">
        <is>
          <t>出来高管理</t>
        </is>
      </c>
      <c r="D35" s="40" t="inlineStr">
        <is>
          <t>計画出来高vs実績出来高の対比表</t>
        </is>
      </c>
      <c r="E35" s="54" t="n"/>
      <c r="F35" s="43" t="n"/>
      <c r="G35" s="43" t="n"/>
      <c r="H35" s="54" t="n"/>
      <c r="I35" s="54" t="n"/>
      <c r="J35" s="54" t="n"/>
      <c r="K35" s="54" t="n"/>
    </row>
    <row r="36" ht="16" customHeight="1" s="32">
      <c r="A36" s="54" t="n">
        <v>28</v>
      </c>
      <c r="B36" s="40" t="inlineStr">
        <is>
          <t>業務要件（詳細）</t>
        </is>
      </c>
      <c r="C36" s="40" t="inlineStr">
        <is>
          <t>原価管理</t>
        </is>
      </c>
      <c r="D36" s="40" t="inlineStr">
        <is>
          <t>現在の原価進捗率に基づく完成時原価予測</t>
        </is>
      </c>
      <c r="E36" s="54" t="n"/>
      <c r="F36" s="43" t="n"/>
      <c r="G36" s="43" t="n"/>
      <c r="H36" s="54" t="n"/>
      <c r="I36" s="54" t="n"/>
      <c r="J36" s="54" t="n"/>
      <c r="K36" s="54" t="n"/>
    </row>
    <row r="37" ht="16" customHeight="1" s="32">
      <c r="A37" s="54" t="n">
        <v>29</v>
      </c>
      <c r="B37" s="40" t="inlineStr">
        <is>
          <t>業務要件（詳細）</t>
        </is>
      </c>
      <c r="C37" s="40" t="inlineStr">
        <is>
          <t>原価管理</t>
        </is>
      </c>
      <c r="D37" s="43" t="inlineStr">
        <is>
          <t>3種類のEAC算出方式：</t>
        </is>
      </c>
      <c r="E37" s="54" t="n"/>
      <c r="F37" s="43" t="n"/>
      <c r="G37" s="43" t="n"/>
      <c r="H37" s="54" t="n"/>
      <c r="I37" s="54" t="n"/>
      <c r="J37" s="54" t="n"/>
      <c r="K37" s="54" t="n"/>
    </row>
    <row r="38" ht="16" customHeight="1" s="32">
      <c r="A38" s="54" t="n">
        <v>30</v>
      </c>
      <c r="B38" s="40" t="inlineStr">
        <is>
          <t>業務要件（詳細）</t>
        </is>
      </c>
      <c r="C38" s="40" t="inlineStr">
        <is>
          <t>原価管理</t>
        </is>
      </c>
      <c r="D38" s="43" t="inlineStr">
        <is>
          <t>EAC推移グラフ（月次更新）</t>
        </is>
      </c>
      <c r="E38" s="54" t="n"/>
      <c r="F38" s="43" t="n"/>
      <c r="G38" s="43" t="n"/>
      <c r="H38" s="54" t="n"/>
      <c r="I38" s="54" t="n"/>
      <c r="J38" s="54" t="n"/>
      <c r="K38" s="54" t="n"/>
    </row>
    <row r="39" ht="16" customHeight="1" s="32">
      <c r="A39" s="54" t="n">
        <v>31</v>
      </c>
      <c r="B39" s="40" t="inlineStr">
        <is>
          <t>業務要件（詳細）</t>
        </is>
      </c>
      <c r="C39" s="40" t="inlineStr">
        <is>
          <t>現場写真管理</t>
        </is>
      </c>
      <c r="D39" s="40" t="inlineStr">
        <is>
          <t>写真区分（着手前/施工中/出来形/品質/完成）の管理</t>
        </is>
      </c>
      <c r="E39" s="54" t="n"/>
      <c r="F39" s="43" t="n"/>
      <c r="G39" s="43" t="n"/>
      <c r="H39" s="54" t="n"/>
      <c r="I39" s="54" t="n"/>
      <c r="J39" s="54" t="n"/>
      <c r="K39" s="54" t="n"/>
    </row>
    <row r="40" ht="16" customHeight="1" s="32">
      <c r="A40" s="54" t="n">
        <v>32</v>
      </c>
      <c r="B40" s="40" t="inlineStr">
        <is>
          <t>業務要件（詳細）</t>
        </is>
      </c>
      <c r="C40" s="40" t="inlineStr">
        <is>
          <t>現場写真管理</t>
        </is>
      </c>
      <c r="D40" s="40" t="inlineStr">
        <is>
          <t>写真情報のXML管理（PHOTO.XML準拠）</t>
        </is>
      </c>
      <c r="E40" s="54" t="n"/>
      <c r="F40" s="43" t="n"/>
      <c r="G40" s="43" t="n"/>
      <c r="H40" s="54" t="n"/>
      <c r="I40" s="54" t="n"/>
      <c r="J40" s="54" t="n"/>
      <c r="K40" s="54" t="n"/>
    </row>
    <row r="41" ht="16" customHeight="1" s="32">
      <c r="A41" s="54" t="n">
        <v>33</v>
      </c>
      <c r="B41" s="40" t="inlineStr">
        <is>
          <t>業務要件（詳細）</t>
        </is>
      </c>
      <c r="C41" s="40" t="inlineStr">
        <is>
          <t>現場写真管理</t>
        </is>
      </c>
      <c r="D41" s="40" t="inlineStr">
        <is>
          <t>改ざん検知（ハッシュ値の管理）</t>
        </is>
      </c>
      <c r="E41" s="54" t="n"/>
      <c r="F41" s="43" t="n"/>
      <c r="G41" s="43" t="n"/>
      <c r="H41" s="54" t="n"/>
      <c r="I41" s="54" t="n"/>
      <c r="J41" s="54" t="n"/>
      <c r="K41" s="54" t="n"/>
    </row>
    <row r="42" ht="16" customHeight="1" s="32">
      <c r="A42" s="54" t="n">
        <v>34</v>
      </c>
      <c r="B42" s="40" t="inlineStr">
        <is>
          <t>業務要件（詳細）</t>
        </is>
      </c>
      <c r="C42" s="40" t="inlineStr">
        <is>
          <t>現場写真管理</t>
        </is>
      </c>
      <c r="D42" s="40" t="inlineStr">
        <is>
          <t>電子納品形式でのエクスポート</t>
        </is>
      </c>
      <c r="E42" s="54" t="n"/>
      <c r="F42" s="43" t="n"/>
      <c r="G42" s="43" t="n"/>
      <c r="H42" s="54" t="n"/>
      <c r="I42" s="54" t="n"/>
      <c r="J42" s="54" t="n"/>
      <c r="K42" s="54" t="n"/>
    </row>
    <row r="43" ht="16" customHeight="1" s="32">
      <c r="A43" s="54" t="n">
        <v>35</v>
      </c>
      <c r="B43" s="40" t="inlineStr">
        <is>
          <t>業務要件（詳細）</t>
        </is>
      </c>
      <c r="C43" s="40" t="inlineStr">
        <is>
          <t>電子黒板</t>
        </is>
      </c>
      <c r="D43" s="40" t="inlineStr">
        <is>
          <t>工事写真に工事情報をオーバーレイ表示する電子黒板機能</t>
        </is>
      </c>
      <c r="E43" s="54" t="n"/>
      <c r="F43" s="43" t="n"/>
      <c r="G43" s="43" t="n"/>
      <c r="H43" s="54" t="n"/>
      <c r="I43" s="54" t="n"/>
      <c r="J43" s="54" t="n"/>
      <c r="K43" s="54" t="n"/>
    </row>
    <row r="44" ht="16" customHeight="1" s="32">
      <c r="A44" s="54" t="n">
        <v>36</v>
      </c>
      <c r="B44" s="40" t="inlineStr">
        <is>
          <t>業務要件（詳細）</t>
        </is>
      </c>
      <c r="C44" s="40" t="inlineStr">
        <is>
          <t>電子黒板</t>
        </is>
      </c>
      <c r="D44" s="40" t="inlineStr">
        <is>
          <t>記載項目：工事名・工種・測定箇所・設計値・実測値・施工者名・日付</t>
        </is>
      </c>
      <c r="E44" s="54" t="n"/>
      <c r="F44" s="43" t="n"/>
      <c r="G44" s="43" t="n"/>
      <c r="H44" s="54" t="n"/>
      <c r="I44" s="54" t="n"/>
      <c r="J44" s="54" t="n"/>
      <c r="K44" s="54" t="n"/>
    </row>
    <row r="45" ht="16" customHeight="1" s="32">
      <c r="A45" s="54" t="n">
        <v>37</v>
      </c>
      <c r="B45" s="40" t="inlineStr">
        <is>
          <t>業務要件（詳細）</t>
        </is>
      </c>
      <c r="C45" s="40" t="inlineStr">
        <is>
          <t>電子黒板</t>
        </is>
      </c>
      <c r="D45" s="40" t="inlineStr">
        <is>
          <t>テンプレート管理（工種別の黒板レイアウト）</t>
        </is>
      </c>
      <c r="E45" s="54" t="n"/>
      <c r="F45" s="43" t="n"/>
      <c r="G45" s="43" t="n"/>
      <c r="H45" s="54" t="n"/>
      <c r="I45" s="54" t="n"/>
      <c r="J45" s="54" t="n"/>
      <c r="K45" s="54" t="n"/>
    </row>
    <row r="46" ht="16" customHeight="1" s="32">
      <c r="A46" s="54" t="n">
        <v>38</v>
      </c>
      <c r="B46" s="40" t="inlineStr">
        <is>
          <t>業務要件（詳細）</t>
        </is>
      </c>
      <c r="C46" s="40" t="inlineStr">
        <is>
          <t>電子黒板</t>
        </is>
      </c>
      <c r="D46" s="40" t="inlineStr">
        <is>
          <t>改ざん防止：撮影時点のデータをSHA-256でハッシュ化</t>
        </is>
      </c>
      <c r="E46" s="54" t="n"/>
      <c r="F46" s="43" t="n"/>
      <c r="G46" s="43" t="n"/>
      <c r="H46" s="54" t="n"/>
      <c r="I46" s="54" t="n"/>
      <c r="J46" s="54" t="n"/>
      <c r="K46" s="54" t="n"/>
    </row>
    <row r="47" ht="16" customHeight="1" s="32">
      <c r="A47" s="54" t="n">
        <v>39</v>
      </c>
      <c r="B47" s="40" t="inlineStr">
        <is>
          <t>業務要件（詳細）</t>
        </is>
      </c>
      <c r="C47" s="40" t="inlineStr">
        <is>
          <t>電子黒板</t>
        </is>
      </c>
      <c r="D47" s="40" t="inlineStr">
        <is>
          <t>国交省の電子黒板使用ガイドライン準拠</t>
        </is>
      </c>
      <c r="E47" s="54" t="n"/>
      <c r="F47" s="43" t="n"/>
      <c r="G47" s="43" t="n"/>
      <c r="H47" s="54" t="n"/>
      <c r="I47" s="54" t="n"/>
      <c r="J47" s="54" t="n"/>
      <c r="K47" s="54" t="n"/>
    </row>
    <row r="48" ht="16" customHeight="1" s="32">
      <c r="A48" s="54" t="n">
        <v>40</v>
      </c>
      <c r="B48" s="40" t="inlineStr">
        <is>
          <t>業務要件（詳細）</t>
        </is>
      </c>
      <c r="C48" s="43" t="inlineStr">
        <is>
          <t>KY（危険予知）活動管理</t>
        </is>
      </c>
      <c r="D48" s="40" t="inlineStr">
        <is>
          <t>圏外環境でのKY活動記録入力</t>
        </is>
      </c>
      <c r="E48" s="54" t="n"/>
      <c r="F48" s="43" t="n"/>
      <c r="G48" s="43" t="n"/>
      <c r="H48" s="54" t="n"/>
      <c r="I48" s="54" t="n"/>
      <c r="J48" s="54" t="n"/>
      <c r="K48" s="54" t="n"/>
    </row>
    <row r="49" ht="16" customHeight="1" s="32">
      <c r="A49" s="54" t="n">
        <v>41</v>
      </c>
      <c r="B49" s="40" t="inlineStr">
        <is>
          <t>業務要件（詳細）</t>
        </is>
      </c>
      <c r="C49" s="43" t="inlineStr">
        <is>
          <t>KY（危険予知）活動管理</t>
        </is>
      </c>
      <c r="D49" s="40" t="inlineStr">
        <is>
          <t>タブレットでのタッチ入力最適化</t>
        </is>
      </c>
      <c r="E49" s="54" t="n"/>
      <c r="F49" s="43" t="n"/>
      <c r="G49" s="43" t="n"/>
      <c r="H49" s="54" t="n"/>
      <c r="I49" s="54" t="n"/>
      <c r="J49" s="54" t="n"/>
      <c r="K49" s="54" t="n"/>
    </row>
    <row r="50" ht="16" customHeight="1" s="32">
      <c r="A50" s="54" t="n">
        <v>42</v>
      </c>
      <c r="B50" s="40" t="inlineStr">
        <is>
          <t>業務要件（詳細）</t>
        </is>
      </c>
      <c r="C50" s="43" t="inlineStr">
        <is>
          <t>KY（危険予知）活動管理</t>
        </is>
      </c>
      <c r="D50" s="40" t="inlineStr">
        <is>
          <t>参加者をQRコード/NFC読取で自動入力</t>
        </is>
      </c>
      <c r="E50" s="54" t="n"/>
      <c r="F50" s="43" t="n"/>
      <c r="G50" s="43" t="n"/>
      <c r="H50" s="54" t="n"/>
      <c r="I50" s="54" t="n"/>
      <c r="J50" s="54" t="n"/>
      <c r="K50" s="54" t="n"/>
    </row>
    <row r="51" ht="16" customHeight="1" s="32">
      <c r="A51" s="54" t="n">
        <v>43</v>
      </c>
      <c r="B51" s="40" t="inlineStr">
        <is>
          <t>業務要件（詳細）</t>
        </is>
      </c>
      <c r="C51" s="43" t="inlineStr">
        <is>
          <t>KY（危険予知）活動管理</t>
        </is>
      </c>
      <c r="D51" s="40" t="inlineStr">
        <is>
          <t>ネットワーク復帰時に自動同期</t>
        </is>
      </c>
      <c r="E51" s="54" t="n"/>
      <c r="F51" s="43" t="n"/>
      <c r="G51" s="43" t="n"/>
      <c r="H51" s="54" t="n"/>
      <c r="I51" s="54" t="n"/>
      <c r="J51" s="54" t="n"/>
      <c r="K51" s="54" t="n"/>
    </row>
    <row r="52" ht="16" customHeight="1" s="32">
      <c r="A52" s="54" t="n">
        <v>44</v>
      </c>
      <c r="B52" s="40" t="inlineStr">
        <is>
          <t>業務要件（詳細）</t>
        </is>
      </c>
      <c r="C52" s="40" t="inlineStr">
        <is>
          <t>作業員入退場管理</t>
        </is>
      </c>
      <c r="D52" s="40" t="inlineStr">
        <is>
          <t>リアルタイム在場者一覧表示</t>
        </is>
      </c>
      <c r="E52" s="54" t="n"/>
      <c r="F52" s="43" t="n"/>
      <c r="G52" s="43" t="n"/>
      <c r="H52" s="54" t="n"/>
      <c r="I52" s="54" t="n"/>
      <c r="J52" s="54" t="n"/>
      <c r="K52" s="54" t="n"/>
    </row>
    <row r="53" ht="16" customHeight="1" s="32">
      <c r="A53" s="54" t="n">
        <v>45</v>
      </c>
      <c r="B53" s="40" t="inlineStr">
        <is>
          <t>業務要件（詳細）</t>
        </is>
      </c>
      <c r="C53" s="40" t="inlineStr">
        <is>
          <t>作業員入退場管理</t>
        </is>
      </c>
      <c r="D53" s="40" t="inlineStr">
        <is>
          <t>建設キャリアアップシステム（CCUS）との連携</t>
        </is>
      </c>
      <c r="E53" s="54" t="n"/>
      <c r="F53" s="43" t="n"/>
      <c r="G53" s="43" t="n"/>
      <c r="H53" s="54" t="n"/>
      <c r="I53" s="54" t="n"/>
      <c r="J53" s="54" t="n"/>
      <c r="K53" s="54" t="n"/>
    </row>
    <row r="54" ht="16" customHeight="1" s="32">
      <c r="A54" s="54" t="n">
        <v>46</v>
      </c>
      <c r="B54" s="40" t="inlineStr">
        <is>
          <t>業務要件（詳細）</t>
        </is>
      </c>
      <c r="C54" s="40" t="inlineStr">
        <is>
          <t>作業員入退場管理</t>
        </is>
      </c>
      <c r="D54" s="40" t="inlineStr">
        <is>
          <t>有資格者配置の自動確認（資格情報とのマッチング）</t>
        </is>
      </c>
      <c r="E54" s="54" t="n"/>
      <c r="F54" s="43" t="n"/>
      <c r="G54" s="43" t="n"/>
      <c r="H54" s="54" t="n"/>
      <c r="I54" s="54" t="n"/>
      <c r="J54" s="54" t="n"/>
      <c r="K54" s="54" t="n"/>
    </row>
    <row r="55" ht="16" customHeight="1" s="32">
      <c r="A55" s="54" t="n">
        <v>47</v>
      </c>
      <c r="B55" s="40" t="inlineStr">
        <is>
          <t>業務要件（詳細）</t>
        </is>
      </c>
      <c r="C55" s="40" t="inlineStr">
        <is>
          <t>作業員入退場管理</t>
        </is>
      </c>
      <c r="D55" s="40" t="inlineStr">
        <is>
          <t>入退場ログの保存（労災時の在場証明）</t>
        </is>
      </c>
      <c r="E55" s="54" t="n"/>
      <c r="F55" s="43" t="n"/>
      <c r="G55" s="43" t="n"/>
      <c r="H55" s="54" t="n"/>
      <c r="I55" s="54" t="n"/>
      <c r="J55" s="54" t="n"/>
      <c r="K55" s="54" t="n"/>
    </row>
    <row r="56" ht="16" customHeight="1" s="32">
      <c r="A56" s="54" t="n">
        <v>48</v>
      </c>
      <c r="B56" s="40" t="inlineStr">
        <is>
          <t>業務要件（詳細）</t>
        </is>
      </c>
      <c r="C56" s="40" t="inlineStr">
        <is>
          <t>作業員入退場管理</t>
        </is>
      </c>
      <c r="D56" s="40" t="inlineStr">
        <is>
          <t>協力会社別の施工体制台帳との整合確認</t>
        </is>
      </c>
      <c r="E56" s="54" t="n"/>
      <c r="F56" s="43" t="n"/>
      <c r="G56" s="43" t="n"/>
      <c r="H56" s="54" t="n"/>
      <c r="I56" s="54" t="n"/>
      <c r="J56" s="54" t="n"/>
      <c r="K56" s="54" t="n"/>
    </row>
    <row r="57" ht="32" customHeight="1" s="32">
      <c r="A57" s="51" t="inlineStr">
        <is>
          <t>■ オフライン対応要件（最重要）</t>
        </is>
      </c>
      <c r="B57" s="52" t="n"/>
      <c r="C57" s="52" t="n"/>
      <c r="D57" s="52" t="n"/>
      <c r="E57" s="53" t="n"/>
      <c r="F57" s="52" t="n"/>
      <c r="G57" s="52" t="n"/>
      <c r="H57" s="53" t="n"/>
      <c r="I57" s="53" t="n"/>
      <c r="J57" s="53" t="n"/>
      <c r="K57" s="53" t="n"/>
    </row>
    <row r="58" ht="16" customHeight="1" s="32">
      <c r="A58" s="54" t="n">
        <v>49</v>
      </c>
      <c r="B58" s="40" t="inlineStr">
        <is>
          <t>オフライン対応要件（最重要）</t>
        </is>
      </c>
      <c r="C58" s="40" t="inlineStr">
        <is>
          <t>オフライン同期ルール</t>
        </is>
      </c>
      <c r="D58" s="40" t="inlineStr">
        <is>
          <t>ネットワーク復帰を自動検知して同期開始</t>
        </is>
      </c>
      <c r="E58" s="54" t="n"/>
      <c r="F58" s="43" t="n"/>
      <c r="G58" s="43" t="n"/>
      <c r="H58" s="54" t="n"/>
      <c r="I58" s="54" t="n"/>
      <c r="J58" s="54" t="n"/>
      <c r="K58" s="54" t="n"/>
    </row>
    <row r="59" ht="16" customHeight="1" s="32">
      <c r="A59" s="54" t="n">
        <v>50</v>
      </c>
      <c r="B59" s="40" t="inlineStr">
        <is>
          <t>オフライン対応要件（最重要）</t>
        </is>
      </c>
      <c r="C59" s="40" t="inlineStr">
        <is>
          <t>オフライン同期ルール</t>
        </is>
      </c>
      <c r="D59" s="40" t="inlineStr">
        <is>
          <t>同期中はプログレスバーで進捗表示</t>
        </is>
      </c>
      <c r="E59" s="54" t="n"/>
      <c r="F59" s="43" t="n"/>
      <c r="G59" s="43" t="n"/>
      <c r="H59" s="54" t="n"/>
      <c r="I59" s="54" t="n"/>
      <c r="J59" s="54" t="n"/>
      <c r="K59" s="54" t="n"/>
    </row>
    <row r="60" ht="16" customHeight="1" s="32">
      <c r="A60" s="54" t="n">
        <v>51</v>
      </c>
      <c r="B60" s="40" t="inlineStr">
        <is>
          <t>オフライン対応要件（最重要）</t>
        </is>
      </c>
      <c r="C60" s="40" t="inlineStr">
        <is>
          <t>オフライン同期ルール</t>
        </is>
      </c>
      <c r="D60" s="40" t="inlineStr">
        <is>
          <t>コンフリクト発生時はユーザーに選択肢提示</t>
        </is>
      </c>
      <c r="E60" s="54" t="n"/>
      <c r="F60" s="43" t="n"/>
      <c r="G60" s="43" t="n"/>
      <c r="H60" s="54" t="n"/>
      <c r="I60" s="54" t="n"/>
      <c r="J60" s="54" t="n"/>
      <c r="K60" s="54" t="n"/>
    </row>
    <row r="61" ht="16" customHeight="1" s="32">
      <c r="A61" s="54" t="n">
        <v>52</v>
      </c>
      <c r="B61" s="40" t="inlineStr">
        <is>
          <t>オフライン対応要件（最重要）</t>
        </is>
      </c>
      <c r="C61" s="40" t="inlineStr">
        <is>
          <t>オフライン同期ルール</t>
        </is>
      </c>
      <c r="D61" s="40" t="inlineStr">
        <is>
          <t>写真はバックグラウンドでアップロード（WiFi優先）</t>
        </is>
      </c>
      <c r="E61" s="54" t="n"/>
      <c r="F61" s="43" t="n"/>
      <c r="G61" s="43" t="n"/>
      <c r="H61" s="54" t="n"/>
      <c r="I61" s="54" t="n"/>
      <c r="J61" s="54" t="n"/>
      <c r="K61" s="54" t="n"/>
    </row>
    <row r="62" ht="16" customHeight="1" s="32">
      <c r="A62" s="54" t="n">
        <v>53</v>
      </c>
      <c r="B62" s="40" t="inlineStr">
        <is>
          <t>オフライン対応要件（最重要）</t>
        </is>
      </c>
      <c r="C62" s="40" t="inlineStr">
        <is>
          <t>オフライン同期ルール</t>
        </is>
      </c>
      <c r="D62" s="40" t="inlineStr">
        <is>
          <t>同期失敗時はリトライ（最大5回、指数バックオフ）</t>
        </is>
      </c>
      <c r="E62" s="54" t="n"/>
      <c r="F62" s="43" t="n"/>
      <c r="G62" s="43" t="n"/>
      <c r="H62" s="54" t="n"/>
      <c r="I62" s="54" t="n"/>
      <c r="J62" s="54" t="n"/>
      <c r="K62" s="54" t="n"/>
    </row>
    <row r="63" ht="16" customHeight="1" s="32">
      <c r="A63" s="51" t="inlineStr">
        <is>
          <t>■ 法規準拠要件</t>
        </is>
      </c>
      <c r="B63" s="52" t="n"/>
      <c r="C63" s="52" t="n"/>
      <c r="D63" s="52" t="n"/>
      <c r="E63" s="53" t="n"/>
      <c r="F63" s="52" t="n"/>
      <c r="G63" s="52" t="n"/>
      <c r="H63" s="53" t="n"/>
      <c r="I63" s="53" t="n"/>
      <c r="J63" s="53" t="n"/>
      <c r="K63" s="53" t="n"/>
    </row>
    <row r="64" ht="16" customHeight="1" s="32">
      <c r="A64" s="54" t="n">
        <v>54</v>
      </c>
      <c r="B64" s="40" t="inlineStr">
        <is>
          <t>法規準拠要件</t>
        </is>
      </c>
      <c r="C64" s="43" t="inlineStr">
        <is>
          <t>(テーブルデータ)</t>
        </is>
      </c>
      <c r="D64" s="40" t="inlineStr">
        <is>
          <t>項目:文書ID | 内容:BIZ-SEK-001</t>
        </is>
      </c>
      <c r="E64" s="54" t="n"/>
      <c r="F64" s="43" t="n"/>
      <c r="G64" s="43" t="n"/>
      <c r="H64" s="54" t="n"/>
      <c r="I64" s="54" t="n"/>
      <c r="J64" s="54" t="n"/>
      <c r="K64" s="54" t="n"/>
    </row>
    <row r="65" ht="16" customHeight="1" s="32">
      <c r="A65" s="54" t="n">
        <v>55</v>
      </c>
      <c r="B65" s="40" t="inlineStr">
        <is>
          <t>法規準拠要件</t>
        </is>
      </c>
      <c r="C65" s="43" t="inlineStr">
        <is>
          <t>(テーブルデータ)</t>
        </is>
      </c>
      <c r="D65" s="40" t="inlineStr">
        <is>
          <t>項目:版数 | 内容:1.0</t>
        </is>
      </c>
      <c r="E65" s="54" t="n"/>
      <c r="F65" s="43" t="n"/>
      <c r="G65" s="43" t="n"/>
      <c r="H65" s="54" t="n"/>
      <c r="I65" s="54" t="n"/>
      <c r="J65" s="54" t="n"/>
      <c r="K65" s="54" t="n"/>
    </row>
    <row r="66" ht="16" customHeight="1" s="32">
      <c r="A66" s="54" t="n">
        <v>56</v>
      </c>
      <c r="B66" s="40" t="inlineStr">
        <is>
          <t>法規準拠要件</t>
        </is>
      </c>
      <c r="C66" s="43" t="inlineStr">
        <is>
          <t>(テーブルデータ)</t>
        </is>
      </c>
      <c r="D66" s="40" t="inlineStr">
        <is>
          <t>項目:作成日 | 内容:2026年5月16日</t>
        </is>
      </c>
      <c r="E66" s="54" t="n"/>
      <c r="F66" s="43" t="n"/>
      <c r="G66" s="43" t="n"/>
      <c r="H66" s="54" t="n"/>
      <c r="I66" s="54" t="n"/>
      <c r="J66" s="54" t="n"/>
      <c r="K66" s="54" t="n"/>
    </row>
    <row r="67" ht="16" customHeight="1" s="32">
      <c r="A67" s="54" t="n">
        <v>57</v>
      </c>
      <c r="B67" s="40" t="inlineStr">
        <is>
          <t>法規準拠要件</t>
        </is>
      </c>
      <c r="C67" s="43" t="inlineStr">
        <is>
          <t>(テーブルデータ)</t>
        </is>
      </c>
      <c r="D67" s="40" t="inlineStr">
        <is>
          <t>項目:対象部署 | 内容:施工本部 工事部</t>
        </is>
      </c>
      <c r="E67" s="54" t="n"/>
      <c r="F67" s="43" t="n"/>
      <c r="G67" s="43" t="n"/>
      <c r="H67" s="54" t="n"/>
      <c r="I67" s="54" t="n"/>
      <c r="J67" s="54" t="n"/>
      <c r="K67" s="54" t="n"/>
    </row>
    <row r="68" ht="32" customHeight="1" s="32">
      <c r="A68" s="54" t="n">
        <v>58</v>
      </c>
      <c r="B68" s="40" t="inlineStr">
        <is>
          <t>法規準拠要件</t>
        </is>
      </c>
      <c r="C68" s="43" t="inlineStr">
        <is>
          <t>(テーブルデータ)</t>
        </is>
      </c>
      <c r="D68" s="40" t="inlineStr">
        <is>
          <t>項目:対象システム | 内容:Construction Site Management System</t>
        </is>
      </c>
      <c r="E68" s="54" t="n"/>
      <c r="F68" s="43" t="n"/>
      <c r="G68" s="43" t="n"/>
      <c r="H68" s="54" t="n"/>
      <c r="I68" s="54" t="n"/>
      <c r="J68" s="54" t="n"/>
      <c r="K68" s="54" t="n"/>
    </row>
    <row r="69" ht="16" customHeight="1" s="32">
      <c r="A69" s="54" t="n">
        <v>59</v>
      </c>
      <c r="B69" s="40" t="inlineStr">
        <is>
          <t>法規準拠要件</t>
        </is>
      </c>
      <c r="C69" s="43" t="inlineStr">
        <is>
          <t>(テーブルデータ)</t>
        </is>
      </c>
      <c r="D69" s="40" t="inlineStr">
        <is>
          <t>役職:工事部長 | 人数（想定）:1名 | 主な業務:全社施工統括</t>
        </is>
      </c>
      <c r="E69" s="54" t="n"/>
      <c r="F69" s="43" t="n"/>
      <c r="G69" s="43" t="n"/>
      <c r="H69" s="54" t="n"/>
      <c r="I69" s="54" t="n"/>
      <c r="J69" s="54" t="n"/>
      <c r="K69" s="54" t="n"/>
    </row>
    <row r="70" ht="16" customHeight="1" s="32">
      <c r="A70" s="54" t="n">
        <v>60</v>
      </c>
      <c r="B70" s="40" t="inlineStr">
        <is>
          <t>法規準拠要件</t>
        </is>
      </c>
      <c r="C70" s="43" t="inlineStr">
        <is>
          <t>(テーブルデータ)</t>
        </is>
      </c>
      <c r="D70" s="40" t="inlineStr">
        <is>
          <t>役職:次長 | 人数（想定）:2名 | 主な業務:大型案件統括、支店指導</t>
        </is>
      </c>
      <c r="E70" s="54" t="n"/>
      <c r="F70" s="43" t="n"/>
      <c r="G70" s="43" t="n"/>
      <c r="H70" s="54" t="n"/>
      <c r="I70" s="54" t="n"/>
      <c r="J70" s="54" t="n"/>
      <c r="K70" s="54" t="n"/>
    </row>
    <row r="71" ht="32" customHeight="1" s="32">
      <c r="A71" s="54" t="n">
        <v>61</v>
      </c>
      <c r="B71" s="40" t="inlineStr">
        <is>
          <t>法規準拠要件</t>
        </is>
      </c>
      <c r="C71" s="43" t="inlineStr">
        <is>
          <t>(テーブルデータ)</t>
        </is>
      </c>
      <c r="D71" s="40" t="inlineStr">
        <is>
          <t>役職:工事課長 | 人数（想定）:3～5名 | 主な業務:複数現場の統括管理</t>
        </is>
      </c>
      <c r="E71" s="54" t="n"/>
      <c r="F71" s="43" t="n"/>
      <c r="G71" s="43" t="n"/>
      <c r="H71" s="54" t="n"/>
      <c r="I71" s="54" t="n"/>
      <c r="J71" s="54" t="n"/>
      <c r="K71" s="54" t="n"/>
    </row>
    <row r="72" ht="16" customHeight="1" s="32">
      <c r="A72" s="54" t="n">
        <v>62</v>
      </c>
      <c r="B72" s="40" t="inlineStr">
        <is>
          <t>法規準拠要件</t>
        </is>
      </c>
      <c r="C72" s="43" t="inlineStr">
        <is>
          <t>(テーブルデータ)</t>
        </is>
      </c>
      <c r="D72" s="40" t="inlineStr">
        <is>
          <t>役職:現場代理人 | 人数（想定）:案件数分 | 主な業務:現場常駐管理</t>
        </is>
      </c>
      <c r="E72" s="54" t="n"/>
      <c r="F72" s="43" t="n"/>
      <c r="G72" s="43" t="n"/>
      <c r="H72" s="54" t="n"/>
      <c r="I72" s="54" t="n"/>
      <c r="J72" s="54" t="n"/>
      <c r="K72" s="54" t="n"/>
    </row>
    <row r="73" ht="32" customHeight="1" s="32">
      <c r="A73" s="54" t="n">
        <v>63</v>
      </c>
      <c r="B73" s="40" t="inlineStr">
        <is>
          <t>法規準拠要件</t>
        </is>
      </c>
      <c r="C73" s="43" t="inlineStr">
        <is>
          <t>(テーブルデータ)</t>
        </is>
      </c>
      <c r="D73" s="40" t="inlineStr">
        <is>
          <t>役職:監理技術者 | 人数（想定）:案件数分 | 主な業務:技術的総合管理</t>
        </is>
      </c>
      <c r="E73" s="54" t="n"/>
      <c r="F73" s="43" t="n"/>
      <c r="G73" s="43" t="n"/>
      <c r="H73" s="54" t="n"/>
      <c r="I73" s="54" t="n"/>
      <c r="J73" s="54" t="n"/>
      <c r="K73" s="54" t="n"/>
    </row>
    <row r="74" ht="16" customHeight="1" s="32">
      <c r="A74" s="54" t="n">
        <v>64</v>
      </c>
      <c r="B74" s="40" t="inlineStr">
        <is>
          <t>法規準拠要件</t>
        </is>
      </c>
      <c r="C74" s="43" t="inlineStr">
        <is>
          <t>(テーブルデータ)</t>
        </is>
      </c>
      <c r="D74" s="40" t="inlineStr">
        <is>
          <t>役職:主任技術者 | 人数（想定）:案件数分 | 主な業務:施工技術管理</t>
        </is>
      </c>
      <c r="E74" s="54" t="n"/>
      <c r="F74" s="43" t="n"/>
      <c r="G74" s="43" t="n"/>
      <c r="H74" s="54" t="n"/>
      <c r="I74" s="54" t="n"/>
      <c r="J74" s="54" t="n"/>
      <c r="K74" s="54" t="n"/>
    </row>
    <row r="75" ht="16" customHeight="1" s="32">
      <c r="A75" s="54" t="n">
        <v>65</v>
      </c>
      <c r="B75" s="40" t="inlineStr">
        <is>
          <t>法規準拠要件</t>
        </is>
      </c>
      <c r="C75" s="43" t="inlineStr">
        <is>
          <t>(テーブルデータ)</t>
        </is>
      </c>
      <c r="D75" s="40" t="inlineStr">
        <is>
          <t>要件:工程表形式 | 詳細:バーチャート＋ネットワーク式（CPM対応）</t>
        </is>
      </c>
      <c r="E75" s="54" t="n"/>
      <c r="F75" s="43" t="n"/>
      <c r="G75" s="43" t="n"/>
      <c r="H75" s="54" t="n"/>
      <c r="I75" s="54" t="n"/>
      <c r="J75" s="54" t="n"/>
      <c r="K75" s="54" t="n"/>
    </row>
    <row r="76" ht="16" customHeight="1" s="32">
      <c r="A76" s="54" t="n">
        <v>66</v>
      </c>
      <c r="B76" s="40" t="inlineStr">
        <is>
          <t>法規準拠要件</t>
        </is>
      </c>
      <c r="C76" s="43" t="inlineStr">
        <is>
          <t>(テーブルデータ)</t>
        </is>
      </c>
      <c r="D76" s="40" t="inlineStr">
        <is>
          <t>要件:階層管理 | 詳細:大工程→中工程→小工程→日工程の4階層</t>
        </is>
      </c>
      <c r="E76" s="54" t="n"/>
      <c r="F76" s="43" t="n"/>
      <c r="G76" s="43" t="n"/>
      <c r="H76" s="54" t="n"/>
      <c r="I76" s="54" t="n"/>
      <c r="J76" s="54" t="n"/>
      <c r="K76" s="54" t="n"/>
    </row>
    <row r="77" ht="16" customHeight="1" s="32">
      <c r="A77" s="54" t="n">
        <v>67</v>
      </c>
      <c r="B77" s="40" t="inlineStr">
        <is>
          <t>法規準拠要件</t>
        </is>
      </c>
      <c r="C77" s="43" t="inlineStr">
        <is>
          <t>(テーブルデータ)</t>
        </is>
      </c>
      <c r="D77" s="40" t="inlineStr">
        <is>
          <t>要件:クリティカルパス | 詳細:自動算出・赤線表示</t>
        </is>
      </c>
      <c r="E77" s="54" t="n"/>
      <c r="F77" s="43" t="n"/>
      <c r="G77" s="43" t="n"/>
      <c r="H77" s="54" t="n"/>
      <c r="I77" s="54" t="n"/>
      <c r="J77" s="54" t="n"/>
      <c r="K77" s="54" t="n"/>
    </row>
    <row r="78" ht="16" customHeight="1" s="32">
      <c r="A78" s="54" t="n">
        <v>68</v>
      </c>
      <c r="B78" s="40" t="inlineStr">
        <is>
          <t>法規準拠要件</t>
        </is>
      </c>
      <c r="C78" s="43" t="inlineStr">
        <is>
          <t>(テーブルデータ)</t>
        </is>
      </c>
      <c r="D78" s="40" t="inlineStr">
        <is>
          <t>要件:マイルストーン | 詳細:発注者検査日・材料搬入日等の管理</t>
        </is>
      </c>
      <c r="E78" s="54" t="n"/>
      <c r="F78" s="43" t="n"/>
      <c r="G78" s="43" t="n"/>
      <c r="H78" s="54" t="n"/>
      <c r="I78" s="54" t="n"/>
      <c r="J78" s="54" t="n"/>
      <c r="K78" s="54" t="n"/>
    </row>
    <row r="79" ht="16" customHeight="1" s="32">
      <c r="A79" s="54" t="n">
        <v>69</v>
      </c>
      <c r="B79" s="40" t="inlineStr">
        <is>
          <t>法規準拠要件</t>
        </is>
      </c>
      <c r="C79" s="43" t="inlineStr">
        <is>
          <t>(テーブルデータ)</t>
        </is>
      </c>
      <c r="D79" s="40" t="inlineStr">
        <is>
          <t>要件:休工日管理 | 詳細:天候休工・祝日・自主休工の管理</t>
        </is>
      </c>
      <c r="E79" s="54" t="n"/>
      <c r="F79" s="43" t="n"/>
      <c r="G79" s="43" t="n"/>
      <c r="H79" s="54" t="n"/>
      <c r="I79" s="54" t="n"/>
      <c r="J79" s="54" t="n"/>
      <c r="K79" s="54" t="n"/>
    </row>
    <row r="80" ht="16" customHeight="1" s="32">
      <c r="A80" s="54" t="n">
        <v>70</v>
      </c>
      <c r="B80" s="40" t="inlineStr">
        <is>
          <t>法規準拠要件</t>
        </is>
      </c>
      <c r="C80" s="43" t="inlineStr">
        <is>
          <t>(テーブルデータ)</t>
        </is>
      </c>
      <c r="D80" s="40" t="inlineStr">
        <is>
          <t>要件:変更履歴 | 詳細:当初工程・変更工程のバージョン管理</t>
        </is>
      </c>
      <c r="E80" s="54" t="n"/>
      <c r="F80" s="43" t="n"/>
      <c r="G80" s="43" t="n"/>
      <c r="H80" s="54" t="n"/>
      <c r="I80" s="54" t="n"/>
      <c r="J80" s="54" t="n"/>
      <c r="K80" s="54" t="n"/>
    </row>
    <row r="81" ht="16" customHeight="1" s="32">
      <c r="A81" s="54" t="n">
        <v>71</v>
      </c>
      <c r="B81" s="40" t="inlineStr">
        <is>
          <t>法規準拠要件</t>
        </is>
      </c>
      <c r="C81" s="43" t="inlineStr">
        <is>
          <t>(テーブルデータ)</t>
        </is>
      </c>
      <c r="D81" s="40" t="inlineStr">
        <is>
          <t>項目:工種・種別・細別 | 説明:内訳書に基づく階層管理</t>
        </is>
      </c>
      <c r="E81" s="54" t="n"/>
      <c r="F81" s="43" t="n"/>
      <c r="G81" s="43" t="n"/>
      <c r="H81" s="54" t="n"/>
      <c r="I81" s="54" t="n"/>
      <c r="J81" s="54" t="n"/>
      <c r="K81" s="54" t="n"/>
    </row>
    <row r="82" ht="16" customHeight="1" s="32">
      <c r="A82" s="54" t="n">
        <v>72</v>
      </c>
      <c r="B82" s="40" t="inlineStr">
        <is>
          <t>法規準拠要件</t>
        </is>
      </c>
      <c r="C82" s="43" t="inlineStr">
        <is>
          <t>(テーブルデータ)</t>
        </is>
      </c>
      <c r="D82" s="40" t="inlineStr">
        <is>
          <t>項目:計画数量 | 説明:設計数量・契約数量</t>
        </is>
      </c>
      <c r="E82" s="54" t="n"/>
      <c r="F82" s="43" t="n"/>
      <c r="G82" s="43" t="n"/>
      <c r="H82" s="54" t="n"/>
      <c r="I82" s="54" t="n"/>
      <c r="J82" s="54" t="n"/>
      <c r="K82" s="54" t="n"/>
    </row>
    <row r="83" ht="16" customHeight="1" s="32">
      <c r="A83" s="54" t="n">
        <v>73</v>
      </c>
      <c r="B83" s="40" t="inlineStr">
        <is>
          <t>法規準拠要件</t>
        </is>
      </c>
      <c r="C83" s="43" t="inlineStr">
        <is>
          <t>(テーブルデータ)</t>
        </is>
      </c>
      <c r="D83" s="40" t="inlineStr">
        <is>
          <t>項目:当月実施数量 | 説明:当月の施工数量入力</t>
        </is>
      </c>
      <c r="E83" s="54" t="n"/>
      <c r="F83" s="43" t="n"/>
      <c r="G83" s="43" t="n"/>
      <c r="H83" s="54" t="n"/>
      <c r="I83" s="54" t="n"/>
      <c r="J83" s="54" t="n"/>
      <c r="K83" s="54" t="n"/>
    </row>
    <row r="84" ht="16" customHeight="1" s="32">
      <c r="A84" s="54" t="n">
        <v>74</v>
      </c>
      <c r="B84" s="40" t="inlineStr">
        <is>
          <t>法規準拠要件</t>
        </is>
      </c>
      <c r="C84" s="43" t="inlineStr">
        <is>
          <t>(テーブルデータ)</t>
        </is>
      </c>
      <c r="D84" s="40" t="inlineStr">
        <is>
          <t>項目:累計実施数量 | 説明:自動計算</t>
        </is>
      </c>
      <c r="E84" s="54" t="n"/>
      <c r="F84" s="43" t="n"/>
      <c r="G84" s="43" t="n"/>
      <c r="H84" s="54" t="n"/>
      <c r="I84" s="54" t="n"/>
      <c r="J84" s="54" t="n"/>
      <c r="K84" s="54" t="n"/>
    </row>
    <row r="85" ht="16" customHeight="1" s="32">
      <c r="A85" s="54" t="n">
        <v>75</v>
      </c>
      <c r="B85" s="40" t="inlineStr">
        <is>
          <t>法規準拠要件</t>
        </is>
      </c>
      <c r="C85" s="43" t="inlineStr">
        <is>
          <t>(テーブルデータ)</t>
        </is>
      </c>
      <c r="D85" s="40" t="inlineStr">
        <is>
          <t>項目:進捗率 | 説明:累計数量÷計画数量（自動計算）</t>
        </is>
      </c>
      <c r="E85" s="54" t="n"/>
      <c r="F85" s="43" t="n"/>
      <c r="G85" s="43" t="n"/>
      <c r="H85" s="54" t="n"/>
      <c r="I85" s="54" t="n"/>
      <c r="J85" s="54" t="n"/>
      <c r="K85" s="54" t="n"/>
    </row>
    <row r="86" ht="16" customHeight="1" s="32">
      <c r="A86" s="54" t="n">
        <v>76</v>
      </c>
      <c r="B86" s="40" t="inlineStr">
        <is>
          <t>法規準拠要件</t>
        </is>
      </c>
      <c r="C86" s="43" t="inlineStr">
        <is>
          <t>(テーブルデータ)</t>
        </is>
      </c>
      <c r="D86" s="40" t="inlineStr">
        <is>
          <t>項目:金額換算 | 説明:単価×数量（自動計算）</t>
        </is>
      </c>
      <c r="E86" s="54" t="n"/>
      <c r="F86" s="43" t="n"/>
      <c r="G86" s="43" t="n"/>
      <c r="H86" s="54" t="n"/>
      <c r="I86" s="54" t="n"/>
      <c r="J86" s="54" t="n"/>
      <c r="K86" s="54" t="n"/>
    </row>
    <row r="87" ht="32" customHeight="1" s="32">
      <c r="A87" s="54" t="n">
        <v>77</v>
      </c>
      <c r="B87" s="40" t="inlineStr">
        <is>
          <t>法規準拠要件</t>
        </is>
      </c>
      <c r="C87" s="43" t="inlineStr">
        <is>
          <t>(テーブルデータ)</t>
        </is>
      </c>
      <c r="D87" s="40" t="inlineStr">
        <is>
          <t>原価区分:労務費 | 入力項目:作業員数×単価、社員労務費 | 入力頻度:日次</t>
        </is>
      </c>
      <c r="E87" s="54" t="n"/>
      <c r="F87" s="43" t="n"/>
      <c r="G87" s="43" t="n"/>
      <c r="H87" s="54" t="n"/>
      <c r="I87" s="54" t="n"/>
      <c r="J87" s="54" t="n"/>
      <c r="K87" s="54" t="n"/>
    </row>
    <row r="88" ht="32" customHeight="1" s="32">
      <c r="A88" s="54" t="n">
        <v>78</v>
      </c>
      <c r="B88" s="40" t="inlineStr">
        <is>
          <t>法規準拠要件</t>
        </is>
      </c>
      <c r="C88" s="43" t="inlineStr">
        <is>
          <t>(テーブルデータ)</t>
        </is>
      </c>
      <c r="D88" s="40" t="inlineStr">
        <is>
          <t>原価区分:材料費 | 入力項目:材料名・数量・単価、納品伝票 | 入力頻度:都度</t>
        </is>
      </c>
      <c r="E88" s="54" t="n"/>
      <c r="F88" s="43" t="n"/>
      <c r="G88" s="43" t="n"/>
      <c r="H88" s="54" t="n"/>
      <c r="I88" s="54" t="n"/>
      <c r="J88" s="54" t="n"/>
      <c r="K88" s="54" t="n"/>
    </row>
    <row r="89" ht="32" customHeight="1" s="32">
      <c r="A89" s="54" t="n">
        <v>79</v>
      </c>
      <c r="B89" s="40" t="inlineStr">
        <is>
          <t>法規準拠要件</t>
        </is>
      </c>
      <c r="C89" s="43" t="inlineStr">
        <is>
          <t>(テーブルデータ)</t>
        </is>
      </c>
      <c r="D89" s="40" t="inlineStr">
        <is>
          <t>原価区分:外注費 | 入力項目:協力会社名・作業内容・金額 | 入力頻度:月次</t>
        </is>
      </c>
      <c r="E89" s="54" t="n"/>
      <c r="F89" s="43" t="n"/>
      <c r="G89" s="43" t="n"/>
      <c r="H89" s="54" t="n"/>
      <c r="I89" s="54" t="n"/>
      <c r="J89" s="54" t="n"/>
      <c r="K89" s="54" t="n"/>
    </row>
    <row r="90" ht="32" customHeight="1" s="32">
      <c r="A90" s="54" t="n">
        <v>80</v>
      </c>
      <c r="B90" s="40" t="inlineStr">
        <is>
          <t>法規準拠要件</t>
        </is>
      </c>
      <c r="C90" s="43" t="inlineStr">
        <is>
          <t>(テーブルデータ)</t>
        </is>
      </c>
      <c r="D90" s="40" t="inlineStr">
        <is>
          <t>原価区分:経費 | 入力項目:仮設費・動力費・運搬費等 | 入力頻度:月次</t>
        </is>
      </c>
      <c r="E90" s="54" t="n"/>
      <c r="F90" s="43" t="n"/>
      <c r="G90" s="43" t="n"/>
      <c r="H90" s="54" t="n"/>
      <c r="I90" s="54" t="n"/>
      <c r="J90" s="54" t="n"/>
      <c r="K90" s="54" t="n"/>
    </row>
    <row r="91" ht="32" customHeight="1" s="32">
      <c r="A91" s="54" t="n">
        <v>81</v>
      </c>
      <c r="B91" s="40" t="inlineStr">
        <is>
          <t>法規準拠要件</t>
        </is>
      </c>
      <c r="C91" s="43" t="inlineStr">
        <is>
          <t>(テーブルデータ)</t>
        </is>
      </c>
      <c r="D91" s="40" t="inlineStr">
        <is>
          <t>要件:撮影形式 | 詳細:JPEG（5MB以下推奨）、オリジナルサイズも保存</t>
        </is>
      </c>
      <c r="E91" s="54" t="n"/>
      <c r="F91" s="43" t="n"/>
      <c r="G91" s="43" t="n"/>
      <c r="H91" s="54" t="n"/>
      <c r="I91" s="54" t="n"/>
      <c r="J91" s="54" t="n"/>
      <c r="K91" s="54" t="n"/>
    </row>
    <row r="92" ht="16" customHeight="1" s="32">
      <c r="A92" s="54" t="n">
        <v>82</v>
      </c>
      <c r="B92" s="40" t="inlineStr">
        <is>
          <t>法規準拠要件</t>
        </is>
      </c>
      <c r="C92" s="43" t="inlineStr">
        <is>
          <t>(テーブルデータ)</t>
        </is>
      </c>
      <c r="D92" s="40" t="inlineStr">
        <is>
          <t>要件:位置情報 | 詳細:GPS座標自動取得（EXIF）</t>
        </is>
      </c>
      <c r="E92" s="54" t="n"/>
      <c r="F92" s="43" t="n"/>
      <c r="G92" s="43" t="n"/>
      <c r="H92" s="54" t="n"/>
      <c r="I92" s="54" t="n"/>
      <c r="J92" s="54" t="n"/>
      <c r="K92" s="54" t="n"/>
    </row>
    <row r="93" ht="16" customHeight="1" s="32">
      <c r="A93" s="54" t="n">
        <v>83</v>
      </c>
      <c r="B93" s="40" t="inlineStr">
        <is>
          <t>法規準拠要件</t>
        </is>
      </c>
      <c r="C93" s="43" t="inlineStr">
        <is>
          <t>(テーブルデータ)</t>
        </is>
      </c>
      <c r="D93" s="40" t="inlineStr">
        <is>
          <t>要件:日時情報 | 詳細:撮影日時自動取得（EXIF）</t>
        </is>
      </c>
      <c r="E93" s="54" t="n"/>
      <c r="F93" s="43" t="n"/>
      <c r="G93" s="43" t="n"/>
      <c r="H93" s="54" t="n"/>
      <c r="I93" s="54" t="n"/>
      <c r="J93" s="54" t="n"/>
      <c r="K93" s="54" t="n"/>
    </row>
    <row r="94" ht="16" customHeight="1" s="32">
      <c r="A94" s="54" t="n">
        <v>84</v>
      </c>
      <c r="B94" s="40" t="inlineStr">
        <is>
          <t>法規準拠要件</t>
        </is>
      </c>
      <c r="C94" s="43" t="inlineStr">
        <is>
          <t>(テーブルデータ)</t>
        </is>
      </c>
      <c r="D94" s="40" t="inlineStr">
        <is>
          <t>要件:分類タグ | 詳細:工種・測点・撮影目的で自動/手動タグ付け</t>
        </is>
      </c>
      <c r="E94" s="54" t="n"/>
      <c r="F94" s="43" t="n"/>
      <c r="G94" s="43" t="n"/>
      <c r="H94" s="54" t="n"/>
      <c r="I94" s="54" t="n"/>
      <c r="J94" s="54" t="n"/>
      <c r="K94" s="54" t="n"/>
    </row>
    <row r="95" ht="16" customHeight="1" s="32">
      <c r="A95" s="54" t="n">
        <v>85</v>
      </c>
      <c r="B95" s="40" t="inlineStr">
        <is>
          <t>法規準拠要件</t>
        </is>
      </c>
      <c r="C95" s="43" t="inlineStr">
        <is>
          <t>(テーブルデータ)</t>
        </is>
      </c>
      <c r="D95" s="40" t="inlineStr">
        <is>
          <t>要件:AI自動分類 | 詳細:撮影内容のAI画像認識による自動分類</t>
        </is>
      </c>
      <c r="E95" s="54" t="n"/>
      <c r="F95" s="43" t="n"/>
      <c r="G95" s="43" t="n"/>
      <c r="H95" s="54" t="n"/>
      <c r="I95" s="54" t="n"/>
      <c r="J95" s="54" t="n"/>
      <c r="K95" s="54" t="n"/>
    </row>
    <row r="96" ht="32" customHeight="1" s="32">
      <c r="A96" s="54" t="n">
        <v>86</v>
      </c>
      <c r="B96" s="40" t="inlineStr">
        <is>
          <t>法規準拠要件</t>
        </is>
      </c>
      <c r="C96" s="43" t="inlineStr">
        <is>
          <t>(テーブルデータ)</t>
        </is>
      </c>
      <c r="D96" s="40" t="inlineStr">
        <is>
          <t>要件:台帳生成 | 詳細:工事写真台帳の自動生成（国交省デジタル写真管理基準準拠）</t>
        </is>
      </c>
      <c r="E96" s="54" t="n"/>
      <c r="F96" s="43" t="n"/>
      <c r="G96" s="43" t="n"/>
      <c r="H96" s="54" t="n"/>
      <c r="I96" s="54" t="n"/>
      <c r="J96" s="54" t="n"/>
      <c r="K96" s="54" t="n"/>
    </row>
    <row r="97" ht="16" customHeight="1" s="32">
      <c r="A97" s="54" t="n">
        <v>87</v>
      </c>
      <c r="B97" s="40" t="inlineStr">
        <is>
          <t>法規準拠要件</t>
        </is>
      </c>
      <c r="C97" s="43" t="inlineStr">
        <is>
          <t>(テーブルデータ)</t>
        </is>
      </c>
      <c r="D97" s="40" t="inlineStr">
        <is>
          <t>記録項目:作業日 | 説明:実施日</t>
        </is>
      </c>
      <c r="E97" s="54" t="n"/>
      <c r="F97" s="43" t="n"/>
      <c r="G97" s="43" t="n"/>
      <c r="H97" s="54" t="n"/>
      <c r="I97" s="54" t="n"/>
      <c r="J97" s="54" t="n"/>
      <c r="K97" s="54" t="n"/>
    </row>
    <row r="98" ht="16" customHeight="1" s="32">
      <c r="A98" s="54" t="n">
        <v>88</v>
      </c>
      <c r="B98" s="40" t="inlineStr">
        <is>
          <t>法規準拠要件</t>
        </is>
      </c>
      <c r="C98" s="43" t="inlineStr">
        <is>
          <t>(テーブルデータ)</t>
        </is>
      </c>
      <c r="D98" s="40" t="inlineStr">
        <is>
          <t>記録項目:作業内容 | 説明:当日の主要作業</t>
        </is>
      </c>
      <c r="E98" s="54" t="n"/>
      <c r="F98" s="43" t="n"/>
      <c r="G98" s="43" t="n"/>
      <c r="H98" s="54" t="n"/>
      <c r="I98" s="54" t="n"/>
      <c r="J98" s="54" t="n"/>
      <c r="K98" s="54" t="n"/>
    </row>
    <row r="99" ht="16" customHeight="1" s="32">
      <c r="A99" s="54" t="n">
        <v>89</v>
      </c>
      <c r="B99" s="40" t="inlineStr">
        <is>
          <t>法規準拠要件</t>
        </is>
      </c>
      <c r="C99" s="43" t="inlineStr">
        <is>
          <t>(テーブルデータ)</t>
        </is>
      </c>
      <c r="D99" s="40" t="inlineStr">
        <is>
          <t>記録項目:参加者 | 説明:参加者全員の氏名</t>
        </is>
      </c>
      <c r="E99" s="54" t="n"/>
      <c r="F99" s="43" t="n"/>
      <c r="G99" s="43" t="n"/>
      <c r="H99" s="54" t="n"/>
      <c r="I99" s="54" t="n"/>
      <c r="J99" s="54" t="n"/>
      <c r="K99" s="54" t="n"/>
    </row>
    <row r="100" ht="16" customHeight="1" s="32">
      <c r="A100" s="54" t="n">
        <v>90</v>
      </c>
      <c r="B100" s="40" t="inlineStr">
        <is>
          <t>法規準拠要件</t>
        </is>
      </c>
      <c r="C100" s="43" t="inlineStr">
        <is>
          <t>(テーブルデータ)</t>
        </is>
      </c>
      <c r="D100" s="40" t="inlineStr">
        <is>
          <t>記録項目:危険要因 | 説明:予想される危険を列挙</t>
        </is>
      </c>
      <c r="E100" s="54" t="n"/>
      <c r="F100" s="43" t="n"/>
      <c r="G100" s="43" t="n"/>
      <c r="H100" s="54" t="n"/>
      <c r="I100" s="54" t="n"/>
      <c r="J100" s="54" t="n"/>
      <c r="K100" s="54" t="n"/>
    </row>
    <row r="101" ht="16" customHeight="1" s="32">
      <c r="A101" s="54" t="n">
        <v>91</v>
      </c>
      <c r="B101" s="40" t="inlineStr">
        <is>
          <t>法規準拠要件</t>
        </is>
      </c>
      <c r="C101" s="43" t="inlineStr">
        <is>
          <t>(テーブルデータ)</t>
        </is>
      </c>
      <c r="D101" s="40" t="inlineStr">
        <is>
          <t>記録項目:リスクランク | 説明:危険度の評価（A/B/C）</t>
        </is>
      </c>
      <c r="E101" s="54" t="n"/>
      <c r="F101" s="43" t="n"/>
      <c r="G101" s="43" t="n"/>
      <c r="H101" s="54" t="n"/>
      <c r="I101" s="54" t="n"/>
      <c r="J101" s="54" t="n"/>
      <c r="K101" s="54" t="n"/>
    </row>
    <row r="102" ht="16" customHeight="1" s="32">
      <c r="A102" s="54" t="n">
        <v>92</v>
      </c>
      <c r="B102" s="40" t="inlineStr">
        <is>
          <t>法規準拠要件</t>
        </is>
      </c>
      <c r="C102" s="43" t="inlineStr">
        <is>
          <t>(テーブルデータ)</t>
        </is>
      </c>
      <c r="D102" s="40" t="inlineStr">
        <is>
          <t>記録項目:対策 | 説明:各危険要因に対する対策</t>
        </is>
      </c>
      <c r="E102" s="54" t="n"/>
      <c r="F102" s="43" t="n"/>
      <c r="G102" s="43" t="n"/>
      <c r="H102" s="54" t="n"/>
      <c r="I102" s="54" t="n"/>
      <c r="J102" s="54" t="n"/>
      <c r="K102" s="54" t="n"/>
    </row>
    <row r="103" ht="16" customHeight="1" s="32">
      <c r="A103" s="54" t="n">
        <v>93</v>
      </c>
      <c r="B103" s="40" t="inlineStr">
        <is>
          <t>法規準拠要件</t>
        </is>
      </c>
      <c r="C103" s="43" t="inlineStr">
        <is>
          <t>(テーブルデータ)</t>
        </is>
      </c>
      <c r="D103" s="40" t="inlineStr">
        <is>
          <t>記録項目:行動目標 | 説明:全員で確認する安全行動目標</t>
        </is>
      </c>
      <c r="E103" s="54" t="n"/>
      <c r="F103" s="43" t="n"/>
      <c r="G103" s="43" t="n"/>
      <c r="H103" s="54" t="n"/>
      <c r="I103" s="54" t="n"/>
      <c r="J103" s="54" t="n"/>
      <c r="K103" s="54" t="n"/>
    </row>
    <row r="104" ht="16" customHeight="1" s="32">
      <c r="A104" s="54" t="n">
        <v>94</v>
      </c>
      <c r="B104" s="40" t="inlineStr">
        <is>
          <t>法規準拠要件</t>
        </is>
      </c>
      <c r="C104" s="43" t="inlineStr">
        <is>
          <t>(テーブルデータ)</t>
        </is>
      </c>
      <c r="D104" s="40" t="inlineStr">
        <is>
          <t>記録項目:リーダー確認 | 説明:班長/職長の確認サイン</t>
        </is>
      </c>
      <c r="E104" s="54" t="n"/>
      <c r="F104" s="43" t="n"/>
      <c r="G104" s="43" t="n"/>
      <c r="H104" s="54" t="n"/>
      <c r="I104" s="54" t="n"/>
      <c r="J104" s="54" t="n"/>
      <c r="K104" s="54" t="n"/>
    </row>
    <row r="105" ht="16" customHeight="1" s="32">
      <c r="A105" s="54" t="n">
        <v>95</v>
      </c>
      <c r="B105" s="40" t="inlineStr">
        <is>
          <t>法規準拠要件</t>
        </is>
      </c>
      <c r="C105" s="43" t="inlineStr">
        <is>
          <t>(テーブルデータ)</t>
        </is>
      </c>
      <c r="D105" s="40" t="inlineStr">
        <is>
          <t>方式:QRコード | 対象:作業員証のQRコード読取 | 精度:○</t>
        </is>
      </c>
      <c r="E105" s="54" t="n"/>
      <c r="F105" s="43" t="n"/>
      <c r="G105" s="43" t="n"/>
      <c r="H105" s="54" t="n"/>
      <c r="I105" s="54" t="n"/>
      <c r="J105" s="54" t="n"/>
      <c r="K105" s="54" t="n"/>
    </row>
    <row r="106" ht="16" customHeight="1" s="32">
      <c r="A106" s="54" t="n">
        <v>96</v>
      </c>
      <c r="B106" s="40" t="inlineStr">
        <is>
          <t>法規準拠要件</t>
        </is>
      </c>
      <c r="C106" s="43" t="inlineStr">
        <is>
          <t>(テーブルデータ)</t>
        </is>
      </c>
      <c r="D106" s="40" t="inlineStr">
        <is>
          <t>方式:NFC | 対象:ICカード読取 | 精度:○</t>
        </is>
      </c>
      <c r="E106" s="54" t="n"/>
      <c r="F106" s="43" t="n"/>
      <c r="G106" s="43" t="n"/>
      <c r="H106" s="54" t="n"/>
      <c r="I106" s="54" t="n"/>
      <c r="J106" s="54" t="n"/>
      <c r="K106" s="54" t="n"/>
    </row>
    <row r="107" ht="16" customHeight="1" s="32">
      <c r="A107" s="54" t="n">
        <v>97</v>
      </c>
      <c r="B107" s="40" t="inlineStr">
        <is>
          <t>法規準拠要件</t>
        </is>
      </c>
      <c r="C107" s="43" t="inlineStr">
        <is>
          <t>(テーブルデータ)</t>
        </is>
      </c>
      <c r="D107" s="40" t="inlineStr">
        <is>
          <t>方式:顔認証 | 対象:カメラによる顔認証（将来対応） | 精度:△</t>
        </is>
      </c>
      <c r="E107" s="54" t="n"/>
      <c r="F107" s="43" t="n"/>
      <c r="G107" s="43" t="n"/>
      <c r="H107" s="54" t="n"/>
      <c r="I107" s="54" t="n"/>
      <c r="J107" s="54" t="n"/>
      <c r="K107" s="54" t="n"/>
    </row>
    <row r="108" ht="16" customHeight="1" s="32">
      <c r="A108" s="54" t="n">
        <v>98</v>
      </c>
      <c r="B108" s="40" t="inlineStr">
        <is>
          <t>法規準拠要件</t>
        </is>
      </c>
      <c r="C108" s="43" t="inlineStr">
        <is>
          <t>(テーブルデータ)</t>
        </is>
      </c>
      <c r="D108" s="40" t="inlineStr">
        <is>
          <t>方式:手動入力 | 対象:上記が使えない場合 | 精度:△</t>
        </is>
      </c>
      <c r="E108" s="54" t="n"/>
      <c r="F108" s="43" t="n"/>
      <c r="G108" s="43" t="n"/>
      <c r="H108" s="54" t="n"/>
      <c r="I108" s="54" t="n"/>
      <c r="J108" s="54" t="n"/>
      <c r="K108" s="54" t="n"/>
    </row>
    <row r="109" ht="16" customHeight="1" s="32">
      <c r="A109" s="54" t="n">
        <v>99</v>
      </c>
      <c r="B109" s="40" t="inlineStr">
        <is>
          <t>法規準拠要件</t>
        </is>
      </c>
      <c r="C109" s="43" t="inlineStr">
        <is>
          <t>(テーブルデータ)</t>
        </is>
      </c>
      <c r="D109" s="40" t="inlineStr">
        <is>
          <t>項目:重機マスタ | 説明:機種・能力・所有/リース区分</t>
        </is>
      </c>
      <c r="E109" s="54" t="n"/>
      <c r="F109" s="43" t="n"/>
      <c r="G109" s="43" t="n"/>
      <c r="H109" s="54" t="n"/>
      <c r="I109" s="54" t="n"/>
      <c r="J109" s="54" t="n"/>
      <c r="K109" s="54" t="n"/>
    </row>
    <row r="110" ht="16" customHeight="1" s="32">
      <c r="A110" s="54" t="n">
        <v>100</v>
      </c>
      <c r="B110" s="40" t="inlineStr">
        <is>
          <t>法規準拠要件</t>
        </is>
      </c>
      <c r="C110" s="43" t="inlineStr">
        <is>
          <t>(テーブルデータ)</t>
        </is>
      </c>
      <c r="D110" s="40" t="inlineStr">
        <is>
          <t>項目:配置管理 | 説明:どの現場にどの重機が配置されているか</t>
        </is>
      </c>
      <c r="E110" s="54" t="n"/>
      <c r="F110" s="43" t="n"/>
      <c r="G110" s="43" t="n"/>
      <c r="H110" s="54" t="n"/>
      <c r="I110" s="54" t="n"/>
      <c r="J110" s="54" t="n"/>
      <c r="K110" s="54" t="n"/>
    </row>
    <row r="111" ht="16" customHeight="1" s="32">
      <c r="A111" s="54" t="n">
        <v>101</v>
      </c>
      <c r="B111" s="40" t="inlineStr">
        <is>
          <t>法規準拠要件</t>
        </is>
      </c>
      <c r="C111" s="43" t="inlineStr">
        <is>
          <t>(テーブルデータ)</t>
        </is>
      </c>
      <c r="D111" s="40" t="inlineStr">
        <is>
          <t>項目:稼働管理 | 説明:日次の稼働時間記録</t>
        </is>
      </c>
      <c r="E111" s="54" t="n"/>
      <c r="F111" s="43" t="n"/>
      <c r="G111" s="43" t="n"/>
      <c r="H111" s="54" t="n"/>
      <c r="I111" s="54" t="n"/>
      <c r="J111" s="54" t="n"/>
      <c r="K111" s="54" t="n"/>
    </row>
    <row r="112" ht="16" customHeight="1" s="32">
      <c r="A112" s="54" t="n">
        <v>102</v>
      </c>
      <c r="B112" s="40" t="inlineStr">
        <is>
          <t>法規準拠要件</t>
        </is>
      </c>
      <c r="C112" s="43" t="inlineStr">
        <is>
          <t>(テーブルデータ)</t>
        </is>
      </c>
      <c r="D112" s="40" t="inlineStr">
        <is>
          <t>項目:GPS追跡 | 説明:GPSトラッカーによるリアルタイム位置</t>
        </is>
      </c>
      <c r="E112" s="54" t="n"/>
      <c r="F112" s="43" t="n"/>
      <c r="G112" s="43" t="n"/>
      <c r="H112" s="54" t="n"/>
      <c r="I112" s="54" t="n"/>
      <c r="J112" s="54" t="n"/>
      <c r="K112" s="54" t="n"/>
    </row>
    <row r="113" ht="16" customHeight="1" s="32">
      <c r="A113" s="54" t="n">
        <v>103</v>
      </c>
      <c r="B113" s="40" t="inlineStr">
        <is>
          <t>法規準拠要件</t>
        </is>
      </c>
      <c r="C113" s="43" t="inlineStr">
        <is>
          <t>(テーブルデータ)</t>
        </is>
      </c>
      <c r="D113" s="40" t="inlineStr">
        <is>
          <t>項目:点検管理 | 説明:始業前点検・定期点検の記録</t>
        </is>
      </c>
      <c r="E113" s="54" t="n"/>
      <c r="F113" s="43" t="n"/>
      <c r="G113" s="43" t="n"/>
      <c r="H113" s="54" t="n"/>
      <c r="I113" s="54" t="n"/>
      <c r="J113" s="54" t="n"/>
      <c r="K113" s="54" t="n"/>
    </row>
    <row r="114" ht="16" customHeight="1" s="32">
      <c r="A114" s="54" t="n">
        <v>104</v>
      </c>
      <c r="B114" s="40" t="inlineStr">
        <is>
          <t>法規準拠要件</t>
        </is>
      </c>
      <c r="C114" s="43" t="inlineStr">
        <is>
          <t>(テーブルデータ)</t>
        </is>
      </c>
      <c r="D114" s="40" t="inlineStr">
        <is>
          <t>項目:燃料管理 | 説明:燃料消費量の記録</t>
        </is>
      </c>
      <c r="E114" s="54" t="n"/>
      <c r="F114" s="43" t="n"/>
      <c r="G114" s="43" t="n"/>
      <c r="H114" s="54" t="n"/>
      <c r="I114" s="54" t="n"/>
      <c r="J114" s="54" t="n"/>
      <c r="K114" s="54" t="n"/>
    </row>
    <row r="115" ht="16" customHeight="1" s="32">
      <c r="A115" s="54" t="n">
        <v>105</v>
      </c>
      <c r="B115" s="40" t="inlineStr">
        <is>
          <t>法規準拠要件</t>
        </is>
      </c>
      <c r="C115" s="43" t="inlineStr">
        <is>
          <t>(テーブルデータ)</t>
        </is>
      </c>
      <c r="D115" s="40" t="inlineStr">
        <is>
          <t>機能:日報入力 | オフライン対応:必須 | 理由:圏外現場での日次業務</t>
        </is>
      </c>
      <c r="E115" s="54" t="n"/>
      <c r="F115" s="43" t="n"/>
      <c r="G115" s="43" t="n"/>
      <c r="H115" s="54" t="n"/>
      <c r="I115" s="54" t="n"/>
      <c r="J115" s="54" t="n"/>
      <c r="K115" s="54" t="n"/>
    </row>
    <row r="116" ht="32" customHeight="1" s="32">
      <c r="A116" s="54" t="n">
        <v>106</v>
      </c>
      <c r="B116" s="40" t="inlineStr">
        <is>
          <t>法規準拠要件</t>
        </is>
      </c>
      <c r="C116" s="43" t="inlineStr">
        <is>
          <t>(テーブルデータ)</t>
        </is>
      </c>
      <c r="D116" s="40" t="inlineStr">
        <is>
          <t>機能:写真撮影・保存 | オフライン対応:必須 | 理由:施工記録の日常業務</t>
        </is>
      </c>
      <c r="E116" s="54" t="n"/>
      <c r="F116" s="43" t="n"/>
      <c r="G116" s="43" t="n"/>
      <c r="H116" s="54" t="n"/>
      <c r="I116" s="54" t="n"/>
      <c r="J116" s="54" t="n"/>
      <c r="K116" s="54" t="n"/>
    </row>
    <row r="117" ht="16" customHeight="1" s="32">
      <c r="A117" s="54" t="n">
        <v>107</v>
      </c>
      <c r="B117" s="40" t="inlineStr">
        <is>
          <t>法規準拠要件</t>
        </is>
      </c>
      <c r="C117" s="43" t="inlineStr">
        <is>
          <t>(テーブルデータ)</t>
        </is>
      </c>
      <c r="D117" s="40" t="inlineStr">
        <is>
          <t>機能:KY活動記録 | オフライン対応:必須 | 理由:毎朝の安全活動</t>
        </is>
      </c>
      <c r="E117" s="54" t="n"/>
      <c r="F117" s="43" t="n"/>
      <c r="G117" s="43" t="n"/>
      <c r="H117" s="54" t="n"/>
      <c r="I117" s="54" t="n"/>
      <c r="J117" s="54" t="n"/>
      <c r="K117" s="54" t="n"/>
    </row>
    <row r="118" ht="32" customHeight="1" s="32">
      <c r="A118" s="54" t="n">
        <v>108</v>
      </c>
      <c r="B118" s="40" t="inlineStr">
        <is>
          <t>法規準拠要件</t>
        </is>
      </c>
      <c r="C118" s="43" t="inlineStr">
        <is>
          <t>(テーブルデータ)</t>
        </is>
      </c>
      <c r="D118" s="40" t="inlineStr">
        <is>
          <t>機能:出来高入力 | オフライン対応:必須 | 理由:計測データの即時記録</t>
        </is>
      </c>
      <c r="E118" s="54" t="n"/>
      <c r="F118" s="43" t="n"/>
      <c r="G118" s="43" t="n"/>
      <c r="H118" s="54" t="n"/>
      <c r="I118" s="54" t="n"/>
      <c r="J118" s="54" t="n"/>
      <c r="K118" s="54" t="n"/>
    </row>
    <row r="119" ht="16" customHeight="1" s="32">
      <c r="A119" s="54" t="n">
        <v>109</v>
      </c>
      <c r="B119" s="40" t="inlineStr">
        <is>
          <t>法規準拠要件</t>
        </is>
      </c>
      <c r="C119" s="43" t="inlineStr">
        <is>
          <t>(テーブルデータ)</t>
        </is>
      </c>
      <c r="D119" s="40" t="inlineStr">
        <is>
          <t>機能:工程進捗入力 | オフライン対応:必須 | 理由:日次の進捗確認</t>
        </is>
      </c>
      <c r="E119" s="54" t="n"/>
      <c r="F119" s="43" t="n"/>
      <c r="G119" s="43" t="n"/>
      <c r="H119" s="54" t="n"/>
      <c r="I119" s="54" t="n"/>
      <c r="J119" s="54" t="n"/>
      <c r="K119" s="54" t="n"/>
    </row>
    <row r="120" ht="16" customHeight="1" s="32">
      <c r="A120" s="54" t="n">
        <v>110</v>
      </c>
      <c r="B120" s="40" t="inlineStr">
        <is>
          <t>法規準拠要件</t>
        </is>
      </c>
      <c r="C120" s="43" t="inlineStr">
        <is>
          <t>(テーブルデータ)</t>
        </is>
      </c>
      <c r="D120" s="40" t="inlineStr">
        <is>
          <t>機能:原価入力 | オフライン対応:必要 | 理由:材料・労務の日次記録</t>
        </is>
      </c>
      <c r="E120" s="54" t="n"/>
      <c r="F120" s="43" t="n"/>
      <c r="G120" s="43" t="n"/>
      <c r="H120" s="54" t="n"/>
      <c r="I120" s="54" t="n"/>
      <c r="J120" s="54" t="n"/>
      <c r="K120" s="54" t="n"/>
    </row>
    <row r="121" ht="32" customHeight="1" s="32">
      <c r="A121" s="54" t="n">
        <v>111</v>
      </c>
      <c r="B121" s="40" t="inlineStr">
        <is>
          <t>法規準拠要件</t>
        </is>
      </c>
      <c r="C121" s="43" t="inlineStr">
        <is>
          <t>(テーブルデータ)</t>
        </is>
      </c>
      <c r="D121" s="40" t="inlineStr">
        <is>
          <t>機能:入退場記録 | オフライン対応:必要 | 理由:QRコードオフライン読取</t>
        </is>
      </c>
      <c r="E121" s="54" t="n"/>
      <c r="F121" s="43" t="n"/>
      <c r="G121" s="43" t="n"/>
      <c r="H121" s="54" t="n"/>
      <c r="I121" s="54" t="n"/>
      <c r="J121" s="54" t="n"/>
      <c r="K121" s="54" t="n"/>
    </row>
    <row r="122" ht="16" customHeight="1" s="32">
      <c r="A122" s="54" t="n">
        <v>112</v>
      </c>
      <c r="B122" s="40" t="inlineStr">
        <is>
          <t>法規準拠要件</t>
        </is>
      </c>
      <c r="C122" s="43" t="inlineStr">
        <is>
          <t>(テーブルデータ)</t>
        </is>
      </c>
      <c r="D122" s="40" t="inlineStr">
        <is>
          <t>機能:重機管理 | オフライン対応:望ましい | 理由:始業前点検記録</t>
        </is>
      </c>
      <c r="E122" s="54" t="n"/>
      <c r="F122" s="43" t="n"/>
      <c r="G122" s="43" t="n"/>
      <c r="H122" s="54" t="n"/>
      <c r="I122" s="54" t="n"/>
      <c r="J122" s="54" t="n"/>
      <c r="K122" s="54" t="n"/>
    </row>
    <row r="123" ht="16" customHeight="1" s="32">
      <c r="A123" s="54" t="n">
        <v>113</v>
      </c>
      <c r="B123" s="40" t="inlineStr">
        <is>
          <t>法規準拠要件</t>
        </is>
      </c>
      <c r="C123" s="43" t="inlineStr">
        <is>
          <t>(テーブルデータ)</t>
        </is>
      </c>
      <c r="D123" s="40" t="inlineStr">
        <is>
          <t>法規:建設業法 | 対応内容:施工体制台帳・技術者配置の管理</t>
        </is>
      </c>
      <c r="E123" s="54" t="n"/>
      <c r="F123" s="43" t="n"/>
      <c r="G123" s="43" t="n"/>
      <c r="H123" s="54" t="n"/>
      <c r="I123" s="54" t="n"/>
      <c r="J123" s="54" t="n"/>
      <c r="K123" s="54" t="n"/>
    </row>
    <row r="124" ht="16" customHeight="1" s="32">
      <c r="A124" s="54" t="n">
        <v>114</v>
      </c>
      <c r="B124" s="40" t="inlineStr">
        <is>
          <t>法規準拠要件</t>
        </is>
      </c>
      <c r="C124" s="43" t="inlineStr">
        <is>
          <t>(テーブルデータ)</t>
        </is>
      </c>
      <c r="D124" s="40" t="inlineStr">
        <is>
          <t>法規:労働安全衛生法 | 対応内容:安全管理記録・KY活動記録</t>
        </is>
      </c>
      <c r="E124" s="54" t="n"/>
      <c r="F124" s="43" t="n"/>
      <c r="G124" s="43" t="n"/>
      <c r="H124" s="54" t="n"/>
      <c r="I124" s="54" t="n"/>
      <c r="J124" s="54" t="n"/>
      <c r="K124" s="54" t="n"/>
    </row>
    <row r="125" ht="16" customHeight="1" s="32">
      <c r="A125" s="54" t="n">
        <v>115</v>
      </c>
      <c r="B125" s="40" t="inlineStr">
        <is>
          <t>法規準拠要件</t>
        </is>
      </c>
      <c r="C125" s="43" t="inlineStr">
        <is>
          <t>(テーブルデータ)</t>
        </is>
      </c>
      <c r="D125" s="40" t="inlineStr">
        <is>
          <t>法規:品確法 | 対応内容:品質記録・出来形管理</t>
        </is>
      </c>
      <c r="E125" s="54" t="n"/>
      <c r="F125" s="43" t="n"/>
      <c r="G125" s="43" t="n"/>
      <c r="H125" s="54" t="n"/>
      <c r="I125" s="54" t="n"/>
      <c r="J125" s="54" t="n"/>
      <c r="K125" s="54" t="n"/>
    </row>
    <row r="126" ht="32" customHeight="1" s="32">
      <c r="A126" s="54" t="n">
        <v>116</v>
      </c>
      <c r="B126" s="40" t="inlineStr">
        <is>
          <t>法規準拠要件</t>
        </is>
      </c>
      <c r="C126" s="43" t="inlineStr">
        <is>
          <t>(テーブルデータ)</t>
        </is>
      </c>
      <c r="D126" s="40" t="inlineStr">
        <is>
          <t>法規:i-Construction 2.0 | 対応内容:ICT施工・3D出来形管理</t>
        </is>
      </c>
      <c r="E126" s="54" t="n"/>
      <c r="F126" s="43" t="n"/>
      <c r="G126" s="43" t="n"/>
      <c r="H126" s="54" t="n"/>
      <c r="I126" s="54" t="n"/>
      <c r="J126" s="54" t="n"/>
      <c r="K126" s="54" t="n"/>
    </row>
    <row r="127" ht="16" customHeight="1" s="32">
      <c r="A127" s="54" t="n">
        <v>117</v>
      </c>
      <c r="B127" s="40" t="inlineStr">
        <is>
          <t>法規準拠要件</t>
        </is>
      </c>
      <c r="C127" s="43" t="inlineStr">
        <is>
          <t>(テーブルデータ)</t>
        </is>
      </c>
      <c r="D127" s="40" t="inlineStr">
        <is>
          <t>法規:デジタル写真管理基準 | 対応内容:写真管理・電子納品</t>
        </is>
      </c>
      <c r="E127" s="54" t="n"/>
      <c r="F127" s="43" t="n"/>
      <c r="G127" s="43" t="n"/>
      <c r="H127" s="54" t="n"/>
      <c r="I127" s="54" t="n"/>
      <c r="J127" s="54" t="n"/>
      <c r="K127" s="54" t="n"/>
    </row>
    <row r="128" ht="16" customHeight="1" s="32">
      <c r="A128" s="54" t="n">
        <v>118</v>
      </c>
      <c r="B128" s="40" t="inlineStr">
        <is>
          <t>法規準拠要件</t>
        </is>
      </c>
      <c r="C128" s="43" t="inlineStr">
        <is>
          <t>(テーブルデータ)</t>
        </is>
      </c>
      <c r="D128" s="40" t="inlineStr">
        <is>
          <t>法規:CORINS | 対応内容:工事実績情報の管理</t>
        </is>
      </c>
      <c r="E128" s="54" t="n"/>
      <c r="F128" s="43" t="n"/>
      <c r="G128" s="43" t="n"/>
      <c r="H128" s="54" t="n"/>
      <c r="I128" s="54" t="n"/>
      <c r="J128" s="54" t="n"/>
      <c r="K128" s="54" t="n"/>
    </row>
    <row r="129" ht="16" customHeight="1" s="32">
      <c r="A129" s="55" t="n"/>
      <c r="B129" s="56" t="n"/>
      <c r="C129" s="56" t="n"/>
      <c r="D129" s="56" t="n"/>
      <c r="E129" s="55" t="n"/>
      <c r="F129" s="56" t="n"/>
      <c r="G129" s="56" t="n"/>
      <c r="H129" s="55" t="n"/>
      <c r="I129" s="55" t="n"/>
      <c r="J129" s="55" t="n"/>
      <c r="K129" s="55" t="n"/>
    </row>
    <row r="130" ht="48" customHeight="1" s="32">
      <c r="A130" s="57" t="inlineStr">
        <is>
          <t>■ 新規追加業務（以下に追記してください）</t>
        </is>
      </c>
      <c r="B130" s="52" t="n"/>
      <c r="C130" s="52" t="n"/>
      <c r="D130" s="52" t="n"/>
      <c r="E130" s="53" t="n"/>
      <c r="F130" s="52" t="n"/>
      <c r="G130" s="52" t="n"/>
      <c r="H130" s="53" t="n"/>
      <c r="I130" s="53" t="n"/>
      <c r="J130" s="53" t="n"/>
      <c r="K130" s="53" t="n"/>
    </row>
    <row r="131" ht="16" customHeight="1" s="32">
      <c r="A131" s="58" t="inlineStr">
        <is>
          <t>追1</t>
        </is>
      </c>
      <c r="B131" s="59" t="n"/>
      <c r="C131" s="59" t="n"/>
      <c r="D131" s="59" t="n"/>
      <c r="E131" s="60" t="inlineStr">
        <is>
          <t>追加</t>
        </is>
      </c>
      <c r="F131" s="59" t="n"/>
      <c r="G131" s="59" t="n"/>
      <c r="H131" s="61" t="n"/>
      <c r="I131" s="61" t="n"/>
      <c r="J131" s="61" t="n"/>
      <c r="K131" s="61" t="n"/>
    </row>
    <row r="132" ht="16" customHeight="1" s="32">
      <c r="A132" s="58" t="inlineStr">
        <is>
          <t>追2</t>
        </is>
      </c>
      <c r="B132" s="59" t="n"/>
      <c r="C132" s="59" t="n"/>
      <c r="D132" s="59" t="n"/>
      <c r="E132" s="60" t="inlineStr">
        <is>
          <t>追加</t>
        </is>
      </c>
      <c r="F132" s="59" t="n"/>
      <c r="G132" s="59" t="n"/>
      <c r="H132" s="61" t="n"/>
      <c r="I132" s="61" t="n"/>
      <c r="J132" s="61" t="n"/>
      <c r="K132" s="61" t="n"/>
    </row>
    <row r="133" ht="16" customHeight="1" s="32">
      <c r="A133" s="58" t="inlineStr">
        <is>
          <t>追3</t>
        </is>
      </c>
      <c r="B133" s="59" t="n"/>
      <c r="C133" s="59" t="n"/>
      <c r="D133" s="59" t="n"/>
      <c r="E133" s="60" t="inlineStr">
        <is>
          <t>追加</t>
        </is>
      </c>
      <c r="F133" s="59" t="n"/>
      <c r="G133" s="59" t="n"/>
      <c r="H133" s="61" t="n"/>
      <c r="I133" s="61" t="n"/>
      <c r="J133" s="61" t="n"/>
      <c r="K133" s="61" t="n"/>
    </row>
    <row r="134" ht="16" customHeight="1" s="32">
      <c r="A134" s="58" t="inlineStr">
        <is>
          <t>追4</t>
        </is>
      </c>
      <c r="B134" s="59" t="n"/>
      <c r="C134" s="59" t="n"/>
      <c r="D134" s="59" t="n"/>
      <c r="E134" s="60" t="inlineStr">
        <is>
          <t>追加</t>
        </is>
      </c>
      <c r="F134" s="59" t="n"/>
      <c r="G134" s="59" t="n"/>
      <c r="H134" s="61" t="n"/>
      <c r="I134" s="61" t="n"/>
      <c r="J134" s="61" t="n"/>
      <c r="K134" s="61" t="n"/>
    </row>
    <row r="135" ht="16" customHeight="1" s="32">
      <c r="A135" s="58" t="inlineStr">
        <is>
          <t>追5</t>
        </is>
      </c>
      <c r="B135" s="59" t="n"/>
      <c r="C135" s="59" t="n"/>
      <c r="D135" s="59" t="n"/>
      <c r="E135" s="60" t="inlineStr">
        <is>
          <t>追加</t>
        </is>
      </c>
      <c r="F135" s="59" t="n"/>
      <c r="G135" s="59" t="n"/>
      <c r="H135" s="61" t="n"/>
      <c r="I135" s="61" t="n"/>
      <c r="J135" s="61" t="n"/>
      <c r="K135" s="61" t="n"/>
    </row>
    <row r="136" ht="16" customHeight="1" s="32">
      <c r="A136" s="58" t="inlineStr">
        <is>
          <t>追6</t>
        </is>
      </c>
      <c r="B136" s="59" t="n"/>
      <c r="C136" s="59" t="n"/>
      <c r="D136" s="59" t="n"/>
      <c r="E136" s="60" t="inlineStr">
        <is>
          <t>追加</t>
        </is>
      </c>
      <c r="F136" s="59" t="n"/>
      <c r="G136" s="59" t="n"/>
      <c r="H136" s="61" t="n"/>
      <c r="I136" s="61" t="n"/>
      <c r="J136" s="61" t="n"/>
      <c r="K136" s="61" t="n"/>
    </row>
    <row r="137" ht="16" customHeight="1" s="32">
      <c r="A137" s="58" t="inlineStr">
        <is>
          <t>追7</t>
        </is>
      </c>
      <c r="B137" s="59" t="n"/>
      <c r="C137" s="59" t="n"/>
      <c r="D137" s="59" t="n"/>
      <c r="E137" s="60" t="inlineStr">
        <is>
          <t>追加</t>
        </is>
      </c>
      <c r="F137" s="59" t="n"/>
      <c r="G137" s="59" t="n"/>
      <c r="H137" s="61" t="n"/>
      <c r="I137" s="61" t="n"/>
      <c r="J137" s="61" t="n"/>
      <c r="K137" s="61" t="n"/>
    </row>
    <row r="138" ht="16" customHeight="1" s="32">
      <c r="A138" s="58" t="inlineStr">
        <is>
          <t>追8</t>
        </is>
      </c>
      <c r="B138" s="59" t="n"/>
      <c r="C138" s="59" t="n"/>
      <c r="D138" s="59" t="n"/>
      <c r="E138" s="60" t="inlineStr">
        <is>
          <t>追加</t>
        </is>
      </c>
      <c r="F138" s="59" t="n"/>
      <c r="G138" s="59" t="n"/>
      <c r="H138" s="61" t="n"/>
      <c r="I138" s="61" t="n"/>
      <c r="J138" s="61" t="n"/>
      <c r="K138" s="61" t="n"/>
    </row>
    <row r="139" ht="16" customHeight="1" s="32">
      <c r="A139" s="58" t="inlineStr">
        <is>
          <t>追9</t>
        </is>
      </c>
      <c r="B139" s="59" t="n"/>
      <c r="C139" s="59" t="n"/>
      <c r="D139" s="59" t="n"/>
      <c r="E139" s="60" t="inlineStr">
        <is>
          <t>追加</t>
        </is>
      </c>
      <c r="F139" s="59" t="n"/>
      <c r="G139" s="59" t="n"/>
      <c r="H139" s="61" t="n"/>
      <c r="I139" s="61" t="n"/>
      <c r="J139" s="61" t="n"/>
      <c r="K139" s="61" t="n"/>
    </row>
    <row r="140" ht="16" customHeight="1" s="32">
      <c r="A140" s="58" t="inlineStr">
        <is>
          <t>追10</t>
        </is>
      </c>
      <c r="B140" s="59" t="n"/>
      <c r="C140" s="59" t="n"/>
      <c r="D140" s="59" t="n"/>
      <c r="E140" s="60" t="inlineStr">
        <is>
          <t>追加</t>
        </is>
      </c>
      <c r="F140" s="59" t="n"/>
      <c r="G140" s="59" t="n"/>
      <c r="H140" s="61" t="n"/>
      <c r="I140" s="61" t="n"/>
      <c r="J140" s="61" t="n"/>
      <c r="K140" s="61" t="n"/>
    </row>
    <row r="141" ht="16" customHeight="1" s="32">
      <c r="A141" s="55" t="n"/>
      <c r="B141" s="56" t="n"/>
      <c r="C141" s="56" t="n"/>
      <c r="D141" s="56" t="n"/>
      <c r="E141" s="55" t="n"/>
      <c r="F141" s="56" t="n"/>
      <c r="G141" s="56" t="n"/>
      <c r="H141" s="55" t="n"/>
      <c r="I141" s="55" t="n"/>
      <c r="J141" s="55" t="n"/>
      <c r="K141" s="55" t="n"/>
    </row>
    <row r="142" ht="16" customHeight="1" s="32">
      <c r="A142" s="55" t="n"/>
      <c r="B142" s="56" t="n"/>
      <c r="C142" s="56" t="n"/>
      <c r="D142" s="56" t="n"/>
      <c r="E142" s="55" t="n"/>
      <c r="F142" s="56" t="n"/>
      <c r="G142" s="56" t="n"/>
      <c r="H142" s="55" t="n"/>
      <c r="I142" s="55" t="n"/>
      <c r="J142" s="55" t="n"/>
      <c r="K142" s="55" t="n"/>
    </row>
    <row r="143" ht="16" customHeight="1" s="32">
      <c r="A143" s="62" t="inlineStr">
        <is>
          <t>【集計】</t>
        </is>
      </c>
      <c r="B143" s="56" t="n"/>
      <c r="C143" s="56" t="n"/>
      <c r="D143" s="56" t="n"/>
      <c r="E143" s="55" t="n"/>
      <c r="F143" s="56" t="n"/>
      <c r="G143" s="56" t="n"/>
      <c r="H143" s="55" t="n"/>
      <c r="I143" s="55" t="n"/>
      <c r="J143" s="55" t="n"/>
      <c r="K143" s="55" t="n"/>
    </row>
    <row r="144" ht="32" customHeight="1" s="32">
      <c r="A144" s="63" t="inlineStr">
        <is>
          <t>OK件数</t>
        </is>
      </c>
      <c r="B144" s="64">
        <f>COUNTIF(E6:E500,"OK")</f>
        <v/>
      </c>
      <c r="C144" s="56" t="n"/>
      <c r="D144" s="56" t="n"/>
      <c r="E144" s="55" t="n"/>
      <c r="F144" s="56" t="n"/>
      <c r="G144" s="56" t="n"/>
      <c r="H144" s="55" t="n"/>
      <c r="I144" s="55" t="n"/>
      <c r="J144" s="55" t="n"/>
      <c r="K144" s="55" t="n"/>
    </row>
    <row r="145" ht="32" customHeight="1" s="32">
      <c r="A145" s="63" t="inlineStr">
        <is>
          <t>NG件数</t>
        </is>
      </c>
      <c r="B145" s="64">
        <f>COUNTIF(E6:E500,"NG")</f>
        <v/>
      </c>
      <c r="C145" s="56" t="n"/>
      <c r="D145" s="56" t="n"/>
      <c r="E145" s="55" t="n"/>
      <c r="F145" s="56" t="n"/>
      <c r="G145" s="56" t="n"/>
      <c r="H145" s="55" t="n"/>
      <c r="I145" s="55" t="n"/>
      <c r="J145" s="55" t="n"/>
      <c r="K145" s="55" t="n"/>
    </row>
    <row r="146" ht="32" customHeight="1" s="32">
      <c r="A146" s="62" t="inlineStr">
        <is>
          <t>追加件数</t>
        </is>
      </c>
      <c r="B146" s="64">
        <f>COUNTIF(E6:E500,"追加")</f>
        <v/>
      </c>
      <c r="C146" s="56" t="n"/>
      <c r="D146" s="56" t="n"/>
      <c r="E146" s="55" t="n"/>
      <c r="F146" s="56" t="n"/>
      <c r="G146" s="56" t="n"/>
      <c r="H146" s="55" t="n"/>
      <c r="I146" s="55" t="n"/>
      <c r="J146" s="55" t="n"/>
      <c r="K146" s="55" t="n"/>
    </row>
    <row r="147" ht="32" customHeight="1" s="32">
      <c r="A147" s="62" t="inlineStr">
        <is>
          <t>削除件数</t>
        </is>
      </c>
      <c r="B147" s="64">
        <f>COUNTIF(E6:E500,"削除")</f>
        <v/>
      </c>
      <c r="C147" s="56" t="n"/>
      <c r="D147" s="56" t="n"/>
      <c r="E147" s="55" t="n"/>
      <c r="F147" s="56" t="n"/>
      <c r="G147" s="56" t="n"/>
      <c r="H147" s="55" t="n"/>
      <c r="I147" s="55" t="n"/>
      <c r="J147" s="55" t="n"/>
      <c r="K147" s="55" t="n"/>
    </row>
  </sheetData>
  <autoFilter ref="A5:K142"/>
  <mergeCells count="10">
    <mergeCell ref="A6:K6"/>
    <mergeCell ref="A12:K12"/>
    <mergeCell ref="A130:K130"/>
    <mergeCell ref="A21:K21"/>
    <mergeCell ref="A3:K3"/>
    <mergeCell ref="A57:K57"/>
    <mergeCell ref="A2:K2"/>
    <mergeCell ref="A63:K63"/>
    <mergeCell ref="A1:K1"/>
    <mergeCell ref="A143:E143"/>
  </mergeCells>
  <dataValidations count="2">
    <dataValidation sqref="E7:E11 E13:E20 E22:E56 E58:E62 E64:E128" showDropDown="0" showInputMessage="0" showErrorMessage="0" allowBlank="1" errorTitle="入力エラー" error="OK, NG, 追加, 削除 のいずれかを選択してください" type="list" errorStyle="stop" operator="between">
      <formula1>"OK,NG,追加,削除"</formula1>
      <formula2>0</formula2>
    </dataValidation>
    <dataValidation sqref="H7:H11 H13:H20 H22:H56 H58:H62 H64:H128 H131:H140" showDropDown="0" showInputMessage="0" showErrorMessage="0" allowBlank="1" type="list" errorStyle="stop" operator="between">
      <formula1>"高,中,低"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landscape" paperSize="8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tabColor rgb="FF533483"/>
    <outlinePr summaryBelow="1" summaryRight="1"/>
    <pageSetUpPr fitToPage="0"/>
  </sheetPr>
  <dimension ref="A1:F1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0" customWidth="1" style="31" min="1" max="1"/>
    <col width="14" customWidth="1" style="31" min="2" max="2"/>
    <col width="16" customWidth="1" style="31" min="3" max="3"/>
    <col width="14" customWidth="1" style="32" min="4" max="4"/>
    <col width="14" customWidth="1" style="32" min="5" max="5"/>
    <col width="14" customWidth="1" style="32" min="6" max="6"/>
  </cols>
  <sheetData>
    <row r="1" ht="38" customHeight="1" s="32">
      <c r="A1" s="65" t="inlineStr">
        <is>
          <t>業務要件確認サマリー — 施工本部_工事部</t>
        </is>
      </c>
    </row>
    <row r="2" ht="11.9" customHeight="1" s="32">
      <c r="A2" s="34" t="inlineStr">
        <is>
          <t>対象業務項目数: 118件 | 確認期限: ____年__月__日</t>
        </is>
      </c>
    </row>
    <row r="4" ht="15" customHeight="1" s="32">
      <c r="A4" s="66" t="inlineStr">
        <is>
          <t>項目</t>
        </is>
      </c>
      <c r="B4" s="66" t="inlineStr">
        <is>
          <t>件数</t>
        </is>
      </c>
      <c r="C4" s="66" t="inlineStr">
        <is>
          <t>割合</t>
        </is>
      </c>
    </row>
    <row r="5" ht="15" customHeight="1" s="32">
      <c r="A5" s="67" t="inlineStr">
        <is>
          <t>OK（問題なし）</t>
        </is>
      </c>
      <c r="B5" s="42">
        <f>業務チェック確認!B144</f>
        <v/>
      </c>
      <c r="C5" s="42" t="n"/>
    </row>
    <row r="6" ht="15" customHeight="1" s="32">
      <c r="A6" s="67" t="inlineStr">
        <is>
          <t>NG（修正要）</t>
        </is>
      </c>
      <c r="B6" s="42">
        <f>業務チェック確認!B145</f>
        <v/>
      </c>
      <c r="C6" s="42" t="n"/>
    </row>
    <row r="7" ht="15" customHeight="1" s="32">
      <c r="A7" s="68" t="inlineStr">
        <is>
          <t>追加（新規）</t>
        </is>
      </c>
      <c r="B7" s="42">
        <f>業務チェック確認!B146</f>
        <v/>
      </c>
      <c r="C7" s="42" t="n"/>
    </row>
    <row r="8" ht="15" customHeight="1" s="32">
      <c r="A8" s="68" t="inlineStr">
        <is>
          <t>削除（不要）</t>
        </is>
      </c>
      <c r="B8" s="42">
        <f>業務チェック確認!B147</f>
        <v/>
      </c>
      <c r="C8" s="42" t="n"/>
    </row>
    <row r="9" ht="15" customHeight="1" s="32">
      <c r="A9" s="68" t="inlineStr">
        <is>
          <t>未確認</t>
        </is>
      </c>
      <c r="B9" s="42">
        <f>業務チェック確認!B148</f>
        <v/>
      </c>
      <c r="C9" s="42" t="n"/>
    </row>
    <row r="11" ht="15" customHeight="1" s="32">
      <c r="A11" s="69" t="inlineStr">
        <is>
          <t>確認完了判定</t>
        </is>
      </c>
    </row>
    <row r="12" ht="15" customHeight="1" s="32">
      <c r="A12" s="70" t="inlineStr">
        <is>
          <t>※ NG件数が0件で確認完了</t>
        </is>
      </c>
    </row>
    <row r="14" ht="15" customHeight="1" s="32">
      <c r="A14" s="69" t="inlineStr">
        <is>
          <t>【承認欄】</t>
        </is>
      </c>
    </row>
    <row r="15" ht="15" customHeight="1" s="32">
      <c r="A15" s="41" t="inlineStr">
        <is>
          <t>部門責任者</t>
        </is>
      </c>
      <c r="B15" s="71" t="inlineStr">
        <is>
          <t>氏名:</t>
        </is>
      </c>
      <c r="C15" s="72" t="n"/>
      <c r="D15" s="71" t="inlineStr">
        <is>
          <t>日付:</t>
        </is>
      </c>
      <c r="E15" s="72" t="n"/>
    </row>
    <row r="16" ht="15" customHeight="1" s="32">
      <c r="A16" s="44" t="inlineStr">
        <is>
          <t>DX推進担当</t>
        </is>
      </c>
      <c r="B16" s="71" t="inlineStr">
        <is>
          <t>氏名:</t>
        </is>
      </c>
      <c r="C16" s="72" t="n"/>
      <c r="D16" s="71" t="inlineStr">
        <is>
          <t>日付:</t>
        </is>
      </c>
      <c r="E16" s="72" t="n"/>
    </row>
    <row r="17" ht="15" customHeight="1" s="32">
      <c r="A17" s="44" t="inlineStr">
        <is>
          <t>IT-DX部門</t>
        </is>
      </c>
      <c r="B17" s="71" t="inlineStr">
        <is>
          <t>氏名:</t>
        </is>
      </c>
      <c r="C17" s="72" t="n"/>
      <c r="D17" s="71" t="inlineStr">
        <is>
          <t>日付:</t>
        </is>
      </c>
      <c r="E17" s="72" t="n"/>
    </row>
  </sheetData>
  <mergeCells count="3">
    <mergeCell ref="A2:F2"/>
    <mergeCell ref="A14:F14"/>
    <mergeCell ref="A1:F1"/>
  </mergeCells>
  <printOptions horizontalCentered="0" verticalCentered="0" headings="0" gridLines="0" gridLinesSet="1"/>
  <pageMargins left="0.75" right="0.75" top="1" bottom="1" header="0.511811023622047" footer="0.511811023622047"/>
  <pageSetup orientation="landscape" paperSize="8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2026-05-16T01:02:08Z</dcterms:created>
  <dcterms:modified xmlns:dcterms="http://purl.org/dc/terms/" xmlns:xsi="http://www.w3.org/2001/XMLSchema-instance" xsi:type="dcterms:W3CDTF">2026-05-16T01:30:14Z</dcterms:modified>
  <cp:revision>0</cp:revision>
</cp:coreProperties>
</file>