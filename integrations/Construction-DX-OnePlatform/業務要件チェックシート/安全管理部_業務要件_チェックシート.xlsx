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'業務内容一覧'!$A$4:$G$85</definedName>
    <definedName name="_xlnm._FilterDatabase" localSheetId="1" hidden="1">'業務チェック確認'!$A$5:$K$100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安全管理部</t>
        </is>
      </c>
    </row>
    <row r="2" ht="22" customHeight="1" s="32">
      <c r="A2" s="34" t="inlineStr">
        <is>
          <t>文書: 安全管理部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全社安全衛生計画の策定・実行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安全パトロールの実施・是正指導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労働災害の防止と発生時の対応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ヒヤリハット活動の推進</t>
        </is>
      </c>
      <c r="F9" s="42" t="n"/>
      <c r="G9" s="41" t="n"/>
    </row>
    <row r="10" ht="16" customHeight="1" s="32">
      <c r="A10" s="39" t="n">
        <v>5</v>
      </c>
      <c r="B10" s="40" t="inlineStr">
        <is>
          <t>部署概要</t>
        </is>
      </c>
      <c r="C10" s="40" t="inlineStr">
        <is>
          <t>部署ミッション</t>
        </is>
      </c>
      <c r="D10" s="41" t="n"/>
      <c r="E10" s="40" t="inlineStr">
        <is>
          <t>安全教育の企画・実施</t>
        </is>
      </c>
      <c r="F10" s="42" t="n"/>
      <c r="G10" s="41" t="n"/>
    </row>
    <row r="11" ht="16" customHeight="1" s="32">
      <c r="A11" s="39" t="n">
        <v>6</v>
      </c>
      <c r="B11" s="40" t="inlineStr">
        <is>
          <t>部署概要</t>
        </is>
      </c>
      <c r="C11" s="40" t="inlineStr">
        <is>
          <t>部署ミッション</t>
        </is>
      </c>
      <c r="D11" s="41" t="n"/>
      <c r="E11" s="43" t="inlineStr">
        <is>
          <t>ISO45001の運用・維持</t>
        </is>
      </c>
      <c r="F11" s="42" t="n"/>
      <c r="G11" s="41" t="n"/>
    </row>
    <row r="12" ht="32" customHeight="1" s="32">
      <c r="A12" s="37" t="inlineStr">
        <is>
          <t>■ 業務要件（詳細）</t>
        </is>
      </c>
      <c r="B12" s="38" t="n"/>
      <c r="C12" s="38" t="n"/>
      <c r="D12" s="38" t="n"/>
      <c r="E12" s="38" t="n"/>
      <c r="F12" s="38" t="n"/>
      <c r="G12" s="38" t="n"/>
    </row>
    <row r="13" ht="16" customHeight="1" s="32">
      <c r="A13" s="39" t="n">
        <v>7</v>
      </c>
      <c r="B13" s="40" t="inlineStr">
        <is>
          <t>業務要件（詳細）</t>
        </is>
      </c>
      <c r="C13" s="40" t="inlineStr">
        <is>
          <t>ヒヤリハット管理</t>
        </is>
      </c>
      <c r="D13" s="40" t="inlineStr">
        <is>
          <t>分析要件</t>
        </is>
      </c>
      <c r="E13" s="40" t="inlineStr">
        <is>
          <t>月次・年次のヒヤリハット報告件数推移</t>
        </is>
      </c>
      <c r="F13" s="42" t="n"/>
      <c r="G13" s="41" t="n"/>
    </row>
    <row r="14" ht="16" customHeight="1" s="32">
      <c r="A14" s="39" t="n">
        <v>8</v>
      </c>
      <c r="B14" s="40" t="inlineStr">
        <is>
          <t>業務要件（詳細）</t>
        </is>
      </c>
      <c r="C14" s="40" t="inlineStr">
        <is>
          <t>ヒヤリハット管理</t>
        </is>
      </c>
      <c r="D14" s="40" t="inlineStr">
        <is>
          <t>分析要件</t>
        </is>
      </c>
      <c r="E14" s="40" t="inlineStr">
        <is>
          <t>危険の種類別集計（パレート図）</t>
        </is>
      </c>
      <c r="F14" s="42" t="n"/>
      <c r="G14" s="41" t="n"/>
    </row>
    <row r="15" ht="16" customHeight="1" s="32">
      <c r="A15" s="39" t="n">
        <v>9</v>
      </c>
      <c r="B15" s="40" t="inlineStr">
        <is>
          <t>業務要件（詳細）</t>
        </is>
      </c>
      <c r="C15" s="40" t="inlineStr">
        <is>
          <t>ヒヤリハット管理</t>
        </is>
      </c>
      <c r="D15" s="40" t="inlineStr">
        <is>
          <t>分析要件</t>
        </is>
      </c>
      <c r="E15" s="40" t="inlineStr">
        <is>
          <t>現場別・工種別の発生頻度分析</t>
        </is>
      </c>
      <c r="F15" s="42" t="n"/>
      <c r="G15" s="41" t="n"/>
    </row>
    <row r="16" ht="16" customHeight="1" s="32">
      <c r="A16" s="39" t="n">
        <v>10</v>
      </c>
      <c r="B16" s="40" t="inlineStr">
        <is>
          <t>業務要件（詳細）</t>
        </is>
      </c>
      <c r="C16" s="40" t="inlineStr">
        <is>
          <t>ヒヤリハット管理</t>
        </is>
      </c>
      <c r="D16" s="40" t="inlineStr">
        <is>
          <t>分析要件</t>
        </is>
      </c>
      <c r="E16" s="43" t="inlineStr">
        <is>
          <t>4M分析の傾向分析</t>
        </is>
      </c>
      <c r="F16" s="42" t="n"/>
      <c r="G16" s="41" t="n"/>
    </row>
    <row r="17" ht="16" customHeight="1" s="32">
      <c r="A17" s="39" t="n">
        <v>11</v>
      </c>
      <c r="B17" s="40" t="inlineStr">
        <is>
          <t>業務要件（詳細）</t>
        </is>
      </c>
      <c r="C17" s="40" t="inlineStr">
        <is>
          <t>ヒヤリハット管理</t>
        </is>
      </c>
      <c r="D17" s="40" t="inlineStr">
        <is>
          <t>分析要件</t>
        </is>
      </c>
      <c r="E17" s="40" t="inlineStr">
        <is>
          <t>類似ヒヤリハットの自動検索（AIによるテキスト類似度）</t>
        </is>
      </c>
      <c r="F17" s="42" t="n"/>
      <c r="G17" s="41" t="n"/>
    </row>
    <row r="18" ht="16" customHeight="1" s="32">
      <c r="A18" s="39" t="n">
        <v>12</v>
      </c>
      <c r="B18" s="40" t="inlineStr">
        <is>
          <t>業務要件（詳細）</t>
        </is>
      </c>
      <c r="C18" s="40" t="inlineStr">
        <is>
          <t>ヒヤリハット管理</t>
        </is>
      </c>
      <c r="D18" s="40" t="inlineStr">
        <is>
          <t>分析要件</t>
        </is>
      </c>
      <c r="E18" s="40" t="inlineStr">
        <is>
          <t>ヒヤリハットマップ（GIS上に発生位置をプロット）</t>
        </is>
      </c>
      <c r="F18" s="42" t="n"/>
      <c r="G18" s="41" t="n"/>
    </row>
    <row r="19" ht="16" customHeight="1" s="32">
      <c r="A19" s="39" t="n">
        <v>13</v>
      </c>
      <c r="B19" s="40" t="inlineStr">
        <is>
          <t>業務要件（詳細）</t>
        </is>
      </c>
      <c r="C19" s="40" t="inlineStr">
        <is>
          <t>ヒヤリハット管理</t>
        </is>
      </c>
      <c r="D19" s="40" t="inlineStr">
        <is>
          <t>オフライン対応</t>
        </is>
      </c>
      <c r="E19" s="40" t="inlineStr">
        <is>
          <t>圏外現場でのオフライン報告入力必須</t>
        </is>
      </c>
      <c r="F19" s="42" t="n"/>
      <c r="G19" s="41" t="n"/>
    </row>
    <row r="20" ht="16" customHeight="1" s="32">
      <c r="A20" s="39" t="n">
        <v>14</v>
      </c>
      <c r="B20" s="40" t="inlineStr">
        <is>
          <t>業務要件（詳細）</t>
        </is>
      </c>
      <c r="C20" s="40" t="inlineStr">
        <is>
          <t>ヒヤリハット管理</t>
        </is>
      </c>
      <c r="D20" s="40" t="inlineStr">
        <is>
          <t>オフライン対応</t>
        </is>
      </c>
      <c r="E20" s="40" t="inlineStr">
        <is>
          <t>写真撮影・添付のオフライン対応</t>
        </is>
      </c>
      <c r="F20" s="42" t="n"/>
      <c r="G20" s="41" t="n"/>
    </row>
    <row r="21" ht="16" customHeight="1" s="32">
      <c r="A21" s="39" t="n">
        <v>15</v>
      </c>
      <c r="B21" s="40" t="inlineStr">
        <is>
          <t>業務要件（詳細）</t>
        </is>
      </c>
      <c r="C21" s="40" t="inlineStr">
        <is>
          <t>ヒヤリハット管理</t>
        </is>
      </c>
      <c r="D21" s="40" t="inlineStr">
        <is>
          <t>オフライン対応</t>
        </is>
      </c>
      <c r="E21" s="40" t="inlineStr">
        <is>
          <t>ネットワーク復帰時の自動同期</t>
        </is>
      </c>
      <c r="F21" s="42" t="n"/>
      <c r="G21" s="41" t="n"/>
    </row>
    <row r="22" ht="16" customHeight="1" s="32">
      <c r="A22" s="39" t="n">
        <v>16</v>
      </c>
      <c r="B22" s="40" t="inlineStr">
        <is>
          <t>業務要件（詳細）</t>
        </is>
      </c>
      <c r="C22" s="40" t="inlineStr">
        <is>
          <t>安全パトロール</t>
        </is>
      </c>
      <c r="D22" s="40" t="inlineStr">
        <is>
          <t>チェックリスト管理</t>
        </is>
      </c>
      <c r="E22" s="40" t="inlineStr">
        <is>
          <t>工種別のチェックリストテンプレート管理</t>
        </is>
      </c>
      <c r="F22" s="42" t="n"/>
      <c r="G22" s="41" t="n"/>
    </row>
    <row r="23" ht="16" customHeight="1" s="32">
      <c r="A23" s="39" t="n">
        <v>17</v>
      </c>
      <c r="B23" s="40" t="inlineStr">
        <is>
          <t>業務要件（詳細）</t>
        </is>
      </c>
      <c r="C23" s="40" t="inlineStr">
        <is>
          <t>安全パトロール</t>
        </is>
      </c>
      <c r="D23" s="40" t="inlineStr">
        <is>
          <t>チェックリスト管理</t>
        </is>
      </c>
      <c r="E23" s="40" t="inlineStr">
        <is>
          <t>チェック項目の5段階評価（優/良/可/不可/該当なし）</t>
        </is>
      </c>
      <c r="F23" s="42" t="n"/>
      <c r="G23" s="41" t="n"/>
    </row>
    <row r="24" ht="16" customHeight="1" s="32">
      <c r="A24" s="39" t="n">
        <v>18</v>
      </c>
      <c r="B24" s="40" t="inlineStr">
        <is>
          <t>業務要件（詳細）</t>
        </is>
      </c>
      <c r="C24" s="40" t="inlineStr">
        <is>
          <t>安全パトロール</t>
        </is>
      </c>
      <c r="D24" s="40" t="inlineStr">
        <is>
          <t>チェックリスト管理</t>
        </is>
      </c>
      <c r="E24" s="40" t="inlineStr">
        <is>
          <t>不適合項目の是正指示→フォローアップ管理</t>
        </is>
      </c>
      <c r="F24" s="42" t="n"/>
      <c r="G24" s="41" t="n"/>
    </row>
    <row r="25" ht="16" customHeight="1" s="32">
      <c r="A25" s="39" t="n">
        <v>19</v>
      </c>
      <c r="B25" s="40" t="inlineStr">
        <is>
          <t>業務要件（詳細）</t>
        </is>
      </c>
      <c r="C25" s="40" t="inlineStr">
        <is>
          <t>安全パトロール</t>
        </is>
      </c>
      <c r="D25" s="40" t="inlineStr">
        <is>
          <t>チェックリスト管理</t>
        </is>
      </c>
      <c r="E25" s="40" t="inlineStr">
        <is>
          <t>写真付き記録（指摘箇所・是正後の比較写真）</t>
        </is>
      </c>
      <c r="F25" s="42" t="n"/>
      <c r="G25" s="41" t="n"/>
    </row>
    <row r="26" ht="16" customHeight="1" s="32">
      <c r="A26" s="39" t="n">
        <v>20</v>
      </c>
      <c r="B26" s="40" t="inlineStr">
        <is>
          <t>業務要件（詳細）</t>
        </is>
      </c>
      <c r="C26" s="40" t="inlineStr">
        <is>
          <t>安全パトロール</t>
        </is>
      </c>
      <c r="D26" s="40" t="inlineStr">
        <is>
          <t>チェックリスト管理</t>
        </is>
      </c>
      <c r="E26" s="40" t="inlineStr">
        <is>
          <t>パトロール結果の自動採点（100点満点）</t>
        </is>
      </c>
      <c r="F26" s="42" t="n"/>
      <c r="G26" s="41" t="n"/>
    </row>
    <row r="27" ht="16" customHeight="1" s="32">
      <c r="A27" s="39" t="n">
        <v>21</v>
      </c>
      <c r="B27" s="40" t="inlineStr">
        <is>
          <t>業務要件（詳細）</t>
        </is>
      </c>
      <c r="C27" s="40" t="inlineStr">
        <is>
          <t>安全パトロール</t>
        </is>
      </c>
      <c r="D27" s="40" t="inlineStr">
        <is>
          <t>是正処置管理</t>
        </is>
      </c>
      <c r="E27" s="40" t="inlineStr">
        <is>
          <t>是正期限超過の自動アラート</t>
        </is>
      </c>
      <c r="F27" s="42" t="n"/>
      <c r="G27" s="41" t="n"/>
    </row>
    <row r="28" ht="16" customHeight="1" s="32">
      <c r="A28" s="39" t="n">
        <v>22</v>
      </c>
      <c r="B28" s="40" t="inlineStr">
        <is>
          <t>業務要件（詳細）</t>
        </is>
      </c>
      <c r="C28" s="40" t="inlineStr">
        <is>
          <t>安全パトロール</t>
        </is>
      </c>
      <c r="D28" s="40" t="inlineStr">
        <is>
          <t>是正処置管理</t>
        </is>
      </c>
      <c r="E28" s="40" t="inlineStr">
        <is>
          <t>是正完了率の管理（目標：期限内完了率95%以上）</t>
        </is>
      </c>
      <c r="F28" s="42" t="n"/>
      <c r="G28" s="41" t="n"/>
    </row>
    <row r="29" ht="16" customHeight="1" s="32">
      <c r="A29" s="39" t="n">
        <v>23</v>
      </c>
      <c r="B29" s="40" t="inlineStr">
        <is>
          <t>業務要件（詳細）</t>
        </is>
      </c>
      <c r="C29" s="40" t="inlineStr">
        <is>
          <t>労災事故管理</t>
        </is>
      </c>
      <c r="D29" s="40" t="inlineStr">
        <is>
          <t>統計分析要件</t>
        </is>
      </c>
      <c r="E29" s="40" t="inlineStr">
        <is>
          <t>度数率・強度率の自動計算（月次・年次）</t>
        </is>
      </c>
      <c r="F29" s="42" t="n"/>
      <c r="G29" s="41" t="n"/>
    </row>
    <row r="30" ht="16" customHeight="1" s="32">
      <c r="A30" s="39" t="n">
        <v>24</v>
      </c>
      <c r="B30" s="40" t="inlineStr">
        <is>
          <t>業務要件（詳細）</t>
        </is>
      </c>
      <c r="C30" s="40" t="inlineStr">
        <is>
          <t>労災事故管理</t>
        </is>
      </c>
      <c r="D30" s="40" t="inlineStr">
        <is>
          <t>統計分析要件</t>
        </is>
      </c>
      <c r="E30" s="40" t="inlineStr">
        <is>
          <t>災害の種類別・工種別の統計</t>
        </is>
      </c>
      <c r="F30" s="42" t="n"/>
      <c r="G30" s="41" t="n"/>
    </row>
    <row r="31" ht="16" customHeight="1" s="32">
      <c r="A31" s="39" t="n">
        <v>25</v>
      </c>
      <c r="B31" s="40" t="inlineStr">
        <is>
          <t>業務要件（詳細）</t>
        </is>
      </c>
      <c r="C31" s="40" t="inlineStr">
        <is>
          <t>労災事故管理</t>
        </is>
      </c>
      <c r="D31" s="40" t="inlineStr">
        <is>
          <t>統計分析要件</t>
        </is>
      </c>
      <c r="E31" s="40" t="inlineStr">
        <is>
          <t>業界平均との比較</t>
        </is>
      </c>
      <c r="F31" s="42" t="n"/>
      <c r="G31" s="41" t="n"/>
    </row>
    <row r="32" ht="16" customHeight="1" s="32">
      <c r="A32" s="39" t="n">
        <v>26</v>
      </c>
      <c r="B32" s="40" t="inlineStr">
        <is>
          <t>業務要件（詳細）</t>
        </is>
      </c>
      <c r="C32" s="40" t="inlineStr">
        <is>
          <t>労災事故管理</t>
        </is>
      </c>
      <c r="D32" s="40" t="inlineStr">
        <is>
          <t>統計分析要件</t>
        </is>
      </c>
      <c r="E32" s="40" t="inlineStr">
        <is>
          <t>前年同期比の推移分析</t>
        </is>
      </c>
      <c r="F32" s="42" t="n"/>
      <c r="G32" s="41" t="n"/>
    </row>
    <row r="33" ht="16" customHeight="1" s="32">
      <c r="A33" s="39" t="n">
        <v>27</v>
      </c>
      <c r="B33" s="40" t="inlineStr">
        <is>
          <t>業務要件（詳細）</t>
        </is>
      </c>
      <c r="C33" s="40" t="inlineStr">
        <is>
          <t>労災事故管理</t>
        </is>
      </c>
      <c r="D33" s="40" t="inlineStr">
        <is>
          <t>統計分析要件</t>
        </is>
      </c>
      <c r="E33" s="40" t="inlineStr">
        <is>
          <t>連続無災害記録の管理</t>
        </is>
      </c>
      <c r="F33" s="42" t="n"/>
      <c r="G33" s="41" t="n"/>
    </row>
    <row r="34" ht="16" customHeight="1" s="32">
      <c r="A34" s="39" t="n">
        <v>28</v>
      </c>
      <c r="B34" s="40" t="inlineStr">
        <is>
          <t>業務要件（詳細）</t>
        </is>
      </c>
      <c r="C34" s="40" t="inlineStr">
        <is>
          <t>安全教育管理</t>
        </is>
      </c>
      <c r="D34" s="40" t="inlineStr">
        <is>
          <t>管理要件</t>
        </is>
      </c>
      <c r="E34" s="40" t="inlineStr">
        <is>
          <t>受講履歴の管理</t>
        </is>
      </c>
      <c r="F34" s="42" t="n"/>
      <c r="G34" s="41" t="n"/>
    </row>
    <row r="35" ht="16" customHeight="1" s="32">
      <c r="A35" s="39" t="n">
        <v>29</v>
      </c>
      <c r="B35" s="40" t="inlineStr">
        <is>
          <t>業務要件（詳細）</t>
        </is>
      </c>
      <c r="C35" s="40" t="inlineStr">
        <is>
          <t>安全教育管理</t>
        </is>
      </c>
      <c r="D35" s="40" t="inlineStr">
        <is>
          <t>管理要件</t>
        </is>
      </c>
      <c r="E35" s="40" t="inlineStr">
        <is>
          <t>未受講者への自動リマインダー</t>
        </is>
      </c>
      <c r="F35" s="42" t="n"/>
      <c r="G35" s="41" t="n"/>
    </row>
    <row r="36" ht="16" customHeight="1" s="32">
      <c r="A36" s="39" t="n">
        <v>30</v>
      </c>
      <c r="B36" s="40" t="inlineStr">
        <is>
          <t>業務要件（詳細）</t>
        </is>
      </c>
      <c r="C36" s="40" t="inlineStr">
        <is>
          <t>安全教育管理</t>
        </is>
      </c>
      <c r="D36" s="40" t="inlineStr">
        <is>
          <t>管理要件</t>
        </is>
      </c>
      <c r="E36" s="40" t="inlineStr">
        <is>
          <t>教育資料のDB管理</t>
        </is>
      </c>
      <c r="F36" s="42" t="n"/>
      <c r="G36" s="41" t="n"/>
    </row>
    <row r="37" ht="16" customHeight="1" s="32">
      <c r="A37" s="39" t="n">
        <v>31</v>
      </c>
      <c r="B37" s="40" t="inlineStr">
        <is>
          <t>業務要件（詳細）</t>
        </is>
      </c>
      <c r="C37" s="40" t="inlineStr">
        <is>
          <t>安全教育管理</t>
        </is>
      </c>
      <c r="D37" s="40" t="inlineStr">
        <is>
          <t>管理要件</t>
        </is>
      </c>
      <c r="E37" s="40" t="inlineStr">
        <is>
          <t>教育効果の測定（テスト結果管理）</t>
        </is>
      </c>
      <c r="F37" s="42" t="n"/>
      <c r="G37" s="41" t="n"/>
    </row>
    <row r="38" ht="16" customHeight="1" s="32">
      <c r="A38" s="39" t="n">
        <v>32</v>
      </c>
      <c r="B38" s="40" t="inlineStr">
        <is>
          <t>業務要件（詳細）</t>
        </is>
      </c>
      <c r="C38" s="43" t="inlineStr">
        <is>
          <t>AI危険予測</t>
        </is>
      </c>
      <c r="D38" s="43" t="inlineStr">
        <is>
          <t>AI映像解析要件</t>
        </is>
      </c>
      <c r="E38" s="40" t="inlineStr">
        <is>
          <t>項目:文書ID | 内容:BIZ-ANZ-001</t>
        </is>
      </c>
      <c r="F38" s="42" t="n"/>
      <c r="G38" s="44" t="n"/>
    </row>
    <row r="39" ht="16" customHeight="1" s="32">
      <c r="A39" s="39" t="n">
        <v>33</v>
      </c>
      <c r="B39" s="40" t="inlineStr">
        <is>
          <t>業務要件（詳細）</t>
        </is>
      </c>
      <c r="C39" s="43" t="inlineStr">
        <is>
          <t>AI危険予測</t>
        </is>
      </c>
      <c r="D39" s="43" t="inlineStr">
        <is>
          <t>AI映像解析要件</t>
        </is>
      </c>
      <c r="E39" s="40" t="inlineStr">
        <is>
          <t>項目:版数 | 内容:1.0</t>
        </is>
      </c>
      <c r="F39" s="42" t="n"/>
      <c r="G39" s="44" t="n"/>
    </row>
    <row r="40" ht="16" customHeight="1" s="32">
      <c r="A40" s="39" t="n">
        <v>34</v>
      </c>
      <c r="B40" s="40" t="inlineStr">
        <is>
          <t>業務要件（詳細）</t>
        </is>
      </c>
      <c r="C40" s="43" t="inlineStr">
        <is>
          <t>AI危険予測</t>
        </is>
      </c>
      <c r="D40" s="43" t="inlineStr">
        <is>
          <t>AI映像解析要件</t>
        </is>
      </c>
      <c r="E40" s="40" t="inlineStr">
        <is>
          <t>項目:作成日 | 内容:2026年5月16日</t>
        </is>
      </c>
      <c r="F40" s="42" t="n"/>
      <c r="G40" s="44" t="n"/>
    </row>
    <row r="41" ht="16" customHeight="1" s="32">
      <c r="A41" s="39" t="n">
        <v>35</v>
      </c>
      <c r="B41" s="40" t="inlineStr">
        <is>
          <t>業務要件（詳細）</t>
        </is>
      </c>
      <c r="C41" s="43" t="inlineStr">
        <is>
          <t>AI危険予測</t>
        </is>
      </c>
      <c r="D41" s="43" t="inlineStr">
        <is>
          <t>AI映像解析要件</t>
        </is>
      </c>
      <c r="E41" s="40" t="inlineStr">
        <is>
          <t>項目:対象部署 | 内容:安全品質環境本部 安全管理部</t>
        </is>
      </c>
      <c r="F41" s="42" t="n"/>
      <c r="G41" s="44" t="n"/>
    </row>
    <row r="42" ht="32" customHeight="1" s="32">
      <c r="A42" s="39" t="n">
        <v>36</v>
      </c>
      <c r="B42" s="40" t="inlineStr">
        <is>
          <t>業務要件（詳細）</t>
        </is>
      </c>
      <c r="C42" s="43" t="inlineStr">
        <is>
          <t>AI危険予測</t>
        </is>
      </c>
      <c r="D42" s="43" t="inlineStr">
        <is>
          <t>AI映像解析要件</t>
        </is>
      </c>
      <c r="E42" s="40" t="inlineStr">
        <is>
          <t>項目:対象システム | 内容:Safety &amp; Quality Governance Platform</t>
        </is>
      </c>
      <c r="F42" s="42" t="n"/>
      <c r="G42" s="44" t="n"/>
    </row>
    <row r="43" ht="16" customHeight="1" s="32">
      <c r="A43" s="39" t="n">
        <v>37</v>
      </c>
      <c r="B43" s="40" t="inlineStr">
        <is>
          <t>業務要件（詳細）</t>
        </is>
      </c>
      <c r="C43" s="43" t="inlineStr">
        <is>
          <t>AI危険予測</t>
        </is>
      </c>
      <c r="D43" s="43" t="inlineStr">
        <is>
          <t>AI映像解析要件</t>
        </is>
      </c>
      <c r="E43" s="40" t="inlineStr">
        <is>
          <t>項目:発生日時 | 必須:○ | 説明:日時選択</t>
        </is>
      </c>
      <c r="F43" s="42" t="n"/>
      <c r="G43" s="44" t="n"/>
    </row>
    <row r="44" ht="16" customHeight="1" s="32">
      <c r="A44" s="39" t="n">
        <v>38</v>
      </c>
      <c r="B44" s="40" t="inlineStr">
        <is>
          <t>業務要件（詳細）</t>
        </is>
      </c>
      <c r="C44" s="43" t="inlineStr">
        <is>
          <t>AI危険予測</t>
        </is>
      </c>
      <c r="D44" s="43" t="inlineStr">
        <is>
          <t>AI映像解析要件</t>
        </is>
      </c>
      <c r="E44" s="40" t="inlineStr">
        <is>
          <t>項目:発生場所 | 必須:○ | 説明:現場名＋詳細位置</t>
        </is>
      </c>
      <c r="F44" s="42" t="n"/>
      <c r="G44" s="44" t="n"/>
    </row>
    <row r="45" ht="16" customHeight="1" s="32">
      <c r="A45" s="39" t="n">
        <v>39</v>
      </c>
      <c r="B45" s="40" t="inlineStr">
        <is>
          <t>業務要件（詳細）</t>
        </is>
      </c>
      <c r="C45" s="43" t="inlineStr">
        <is>
          <t>AI危険予測</t>
        </is>
      </c>
      <c r="D45" s="43" t="inlineStr">
        <is>
          <t>AI映像解析要件</t>
        </is>
      </c>
      <c r="E45" s="40" t="inlineStr">
        <is>
          <t>項目:状況説明 | 必須:○ | 説明:何が起きたか（テキスト）</t>
        </is>
      </c>
      <c r="F45" s="42" t="n"/>
      <c r="G45" s="44" t="n"/>
    </row>
    <row r="46" ht="16" customHeight="1" s="32">
      <c r="A46" s="39" t="n">
        <v>40</v>
      </c>
      <c r="B46" s="40" t="inlineStr">
        <is>
          <t>業務要件（詳細）</t>
        </is>
      </c>
      <c r="C46" s="43" t="inlineStr">
        <is>
          <t>AI危険予測</t>
        </is>
      </c>
      <c r="D46" s="43" t="inlineStr">
        <is>
          <t>AI映像解析要件</t>
        </is>
      </c>
      <c r="E46" s="40" t="inlineStr">
        <is>
          <t>項目:写真 | 必須:△ | 説明:状況写真（複数枚可）</t>
        </is>
      </c>
      <c r="F46" s="42" t="n"/>
      <c r="G46" s="44" t="n"/>
    </row>
    <row r="47" ht="16" customHeight="1" s="32">
      <c r="A47" s="39" t="n">
        <v>41</v>
      </c>
      <c r="B47" s="40" t="inlineStr">
        <is>
          <t>業務要件（詳細）</t>
        </is>
      </c>
      <c r="C47" s="43" t="inlineStr">
        <is>
          <t>AI危険予測</t>
        </is>
      </c>
      <c r="D47" s="43" t="inlineStr">
        <is>
          <t>AI映像解析要件</t>
        </is>
      </c>
      <c r="E47" s="40" t="inlineStr">
        <is>
          <t>項目:危険の種類 | 必須:○ | 説明:墜落/転倒/挟まれ/感電/崩壊等</t>
        </is>
      </c>
      <c r="F47" s="42" t="n"/>
      <c r="G47" s="44" t="n"/>
    </row>
    <row r="48" ht="16" customHeight="1" s="32">
      <c r="A48" s="39" t="n">
        <v>42</v>
      </c>
      <c r="B48" s="40" t="inlineStr">
        <is>
          <t>業務要件（詳細）</t>
        </is>
      </c>
      <c r="C48" s="43" t="inlineStr">
        <is>
          <t>AI危険予測</t>
        </is>
      </c>
      <c r="D48" s="43" t="inlineStr">
        <is>
          <t>AI映像解析要件</t>
        </is>
      </c>
      <c r="E48" s="40" t="inlineStr">
        <is>
          <t>項目:作業内容 | 必須:○ | 説明:発生時の作業</t>
        </is>
      </c>
      <c r="F48" s="42" t="n"/>
      <c r="G48" s="44" t="n"/>
    </row>
    <row r="49" ht="16" customHeight="1" s="32">
      <c r="A49" s="39" t="n">
        <v>43</v>
      </c>
      <c r="B49" s="40" t="inlineStr">
        <is>
          <t>業務要件（詳細）</t>
        </is>
      </c>
      <c r="C49" s="43" t="inlineStr">
        <is>
          <t>AI危険予測</t>
        </is>
      </c>
      <c r="D49" s="43" t="inlineStr">
        <is>
          <t>AI映像解析要件</t>
        </is>
      </c>
      <c r="E49" s="40" t="inlineStr">
        <is>
          <t>項目:原因分類 | 必須:○ | 説明:不安全行動/不安全状態</t>
        </is>
      </c>
      <c r="F49" s="42" t="n"/>
      <c r="G49" s="44" t="n"/>
    </row>
    <row r="50" ht="16" customHeight="1" s="32">
      <c r="A50" s="39" t="n">
        <v>44</v>
      </c>
      <c r="B50" s="40" t="inlineStr">
        <is>
          <t>業務要件（詳細）</t>
        </is>
      </c>
      <c r="C50" s="43" t="inlineStr">
        <is>
          <t>AI危険予測</t>
        </is>
      </c>
      <c r="D50" s="43" t="inlineStr">
        <is>
          <t>AI映像解析要件</t>
        </is>
      </c>
      <c r="E50" s="40" t="inlineStr">
        <is>
          <t>項目:リスクレベル | 必須:○ | 説明:高/中/低</t>
        </is>
      </c>
      <c r="F50" s="42" t="n"/>
      <c r="G50" s="44" t="n"/>
    </row>
    <row r="51" ht="32" customHeight="1" s="32">
      <c r="A51" s="39" t="n">
        <v>45</v>
      </c>
      <c r="B51" s="40" t="inlineStr">
        <is>
          <t>業務要件（詳細）</t>
        </is>
      </c>
      <c r="C51" s="43" t="inlineStr">
        <is>
          <t>AI危険予測</t>
        </is>
      </c>
      <c r="D51" s="43" t="inlineStr">
        <is>
          <t>AI映像解析要件</t>
        </is>
      </c>
      <c r="E51" s="40" t="inlineStr">
        <is>
          <t>項目:4M分析 | 必須:△ | 説明:Man/Machine/Media/Management</t>
        </is>
      </c>
      <c r="F51" s="42" t="n"/>
      <c r="G51" s="44" t="n"/>
    </row>
    <row r="52" ht="16" customHeight="1" s="32">
      <c r="A52" s="39" t="n">
        <v>46</v>
      </c>
      <c r="B52" s="40" t="inlineStr">
        <is>
          <t>業務要件（詳細）</t>
        </is>
      </c>
      <c r="C52" s="43" t="inlineStr">
        <is>
          <t>AI危険予測</t>
        </is>
      </c>
      <c r="D52" s="43" t="inlineStr">
        <is>
          <t>AI映像解析要件</t>
        </is>
      </c>
      <c r="E52" s="40" t="inlineStr">
        <is>
          <t>項目:対策 | 必須:△ | 説明:再発防止策</t>
        </is>
      </c>
      <c r="F52" s="42" t="n"/>
      <c r="G52" s="44" t="n"/>
    </row>
    <row r="53" ht="16" customHeight="1" s="32">
      <c r="A53" s="39" t="n">
        <v>47</v>
      </c>
      <c r="B53" s="40" t="inlineStr">
        <is>
          <t>業務要件（詳細）</t>
        </is>
      </c>
      <c r="C53" s="43" t="inlineStr">
        <is>
          <t>AI危険予測</t>
        </is>
      </c>
      <c r="D53" s="43" t="inlineStr">
        <is>
          <t>AI映像解析要件</t>
        </is>
      </c>
      <c r="E53" s="40" t="inlineStr">
        <is>
          <t>種別:本社パトロール | 頻度:月1回/現場 | 実施者:安全管理部</t>
        </is>
      </c>
      <c r="F53" s="42" t="n"/>
      <c r="G53" s="44" t="n"/>
    </row>
    <row r="54" ht="16" customHeight="1" s="32">
      <c r="A54" s="39" t="n">
        <v>48</v>
      </c>
      <c r="B54" s="40" t="inlineStr">
        <is>
          <t>業務要件（詳細）</t>
        </is>
      </c>
      <c r="C54" s="43" t="inlineStr">
        <is>
          <t>AI危険予測</t>
        </is>
      </c>
      <c r="D54" s="43" t="inlineStr">
        <is>
          <t>AI映像解析要件</t>
        </is>
      </c>
      <c r="E54" s="40" t="inlineStr">
        <is>
          <t>種別:支店パトロール | 頻度:月2回/現場 | 実施者:支店安全担当</t>
        </is>
      </c>
      <c r="F54" s="42" t="n"/>
      <c r="G54" s="44" t="n"/>
    </row>
    <row r="55" ht="16" customHeight="1" s="32">
      <c r="A55" s="39" t="n">
        <v>49</v>
      </c>
      <c r="B55" s="40" t="inlineStr">
        <is>
          <t>業務要件（詳細）</t>
        </is>
      </c>
      <c r="C55" s="43" t="inlineStr">
        <is>
          <t>AI危険予測</t>
        </is>
      </c>
      <c r="D55" s="43" t="inlineStr">
        <is>
          <t>AI映像解析要件</t>
        </is>
      </c>
      <c r="E55" s="40" t="inlineStr">
        <is>
          <t>種別:所長パトロール | 頻度:週1回 | 実施者:現場代理人</t>
        </is>
      </c>
      <c r="F55" s="42" t="n"/>
      <c r="G55" s="44" t="n"/>
    </row>
    <row r="56" ht="16" customHeight="1" s="32">
      <c r="A56" s="39" t="n">
        <v>50</v>
      </c>
      <c r="B56" s="40" t="inlineStr">
        <is>
          <t>業務要件（詳細）</t>
        </is>
      </c>
      <c r="C56" s="43" t="inlineStr">
        <is>
          <t>AI危険予測</t>
        </is>
      </c>
      <c r="D56" s="43" t="inlineStr">
        <is>
          <t>AI映像解析要件</t>
        </is>
      </c>
      <c r="E56" s="40" t="inlineStr">
        <is>
          <t>種別:随時パトロール | 頻度:随時 | 実施者:安全管理部・支店</t>
        </is>
      </c>
      <c r="F56" s="42" t="n"/>
      <c r="G56" s="44" t="n"/>
    </row>
    <row r="57" ht="16" customHeight="1" s="32">
      <c r="A57" s="39" t="n">
        <v>51</v>
      </c>
      <c r="B57" s="40" t="inlineStr">
        <is>
          <t>業務要件（詳細）</t>
        </is>
      </c>
      <c r="C57" s="43" t="inlineStr">
        <is>
          <t>AI危険予測</t>
        </is>
      </c>
      <c r="D57" s="43" t="inlineStr">
        <is>
          <t>AI映像解析要件</t>
        </is>
      </c>
      <c r="E57" s="40" t="inlineStr">
        <is>
          <t>区分:服装・保護具 | チェック項目:ヘルメット着用、安全帯着用、ライフジャケット着用</t>
        </is>
      </c>
      <c r="F57" s="42" t="n"/>
      <c r="G57" s="44" t="n"/>
    </row>
    <row r="58" ht="16" customHeight="1" s="32">
      <c r="A58" s="39" t="n">
        <v>52</v>
      </c>
      <c r="B58" s="40" t="inlineStr">
        <is>
          <t>業務要件（詳細）</t>
        </is>
      </c>
      <c r="C58" s="43" t="inlineStr">
        <is>
          <t>AI危険予測</t>
        </is>
      </c>
      <c r="D58" s="43" t="inlineStr">
        <is>
          <t>AI映像解析要件</t>
        </is>
      </c>
      <c r="E58" s="40" t="inlineStr">
        <is>
          <t>区分:仮設設備 | チェック項目:手すり・中さん・幅木の設置状況</t>
        </is>
      </c>
      <c r="F58" s="42" t="n"/>
      <c r="G58" s="44" t="n"/>
    </row>
    <row r="59" ht="16" customHeight="1" s="32">
      <c r="A59" s="39" t="n">
        <v>53</v>
      </c>
      <c r="B59" s="40" t="inlineStr">
        <is>
          <t>業務要件（詳細）</t>
        </is>
      </c>
      <c r="C59" s="43" t="inlineStr">
        <is>
          <t>AI危険予測</t>
        </is>
      </c>
      <c r="D59" s="43" t="inlineStr">
        <is>
          <t>AI映像解析要件</t>
        </is>
      </c>
      <c r="E59" s="40" t="inlineStr">
        <is>
          <t>区分:重機 | チェック項目:作業半径内立入禁止措置、誘導員の配置</t>
        </is>
      </c>
      <c r="F59" s="42" t="n"/>
      <c r="G59" s="44" t="n"/>
    </row>
    <row r="60" ht="16" customHeight="1" s="32">
      <c r="A60" s="39" t="n">
        <v>54</v>
      </c>
      <c r="B60" s="40" t="inlineStr">
        <is>
          <t>業務要件（詳細）</t>
        </is>
      </c>
      <c r="C60" s="43" t="inlineStr">
        <is>
          <t>AI危険予測</t>
        </is>
      </c>
      <c r="D60" s="43" t="inlineStr">
        <is>
          <t>AI映像解析要件</t>
        </is>
      </c>
      <c r="E60" s="40" t="inlineStr">
        <is>
          <t>区分:海上作業 | チェック項目:救命設備、気象情報確認、作業中止基準</t>
        </is>
      </c>
      <c r="F60" s="42" t="n"/>
      <c r="G60" s="44" t="n"/>
    </row>
    <row r="61" ht="16" customHeight="1" s="32">
      <c r="A61" s="39" t="n">
        <v>55</v>
      </c>
      <c r="B61" s="40" t="inlineStr">
        <is>
          <t>業務要件（詳細）</t>
        </is>
      </c>
      <c r="C61" s="43" t="inlineStr">
        <is>
          <t>AI危険予測</t>
        </is>
      </c>
      <c r="D61" s="43" t="inlineStr">
        <is>
          <t>AI映像解析要件</t>
        </is>
      </c>
      <c r="E61" s="40" t="inlineStr">
        <is>
          <t>区分:電気 | チェック項目:漏電ブレーカー設置、仮設電気配線</t>
        </is>
      </c>
      <c r="F61" s="42" t="n"/>
      <c r="G61" s="44" t="n"/>
    </row>
    <row r="62" ht="16" customHeight="1" s="32">
      <c r="A62" s="39" t="n">
        <v>56</v>
      </c>
      <c r="B62" s="40" t="inlineStr">
        <is>
          <t>業務要件（詳細）</t>
        </is>
      </c>
      <c r="C62" s="43" t="inlineStr">
        <is>
          <t>AI危険予測</t>
        </is>
      </c>
      <c r="D62" s="43" t="inlineStr">
        <is>
          <t>AI映像解析要件</t>
        </is>
      </c>
      <c r="E62" s="40" t="inlineStr">
        <is>
          <t>区分:整理整頓 | チェック項目:資材の整理整頓、通路の確保</t>
        </is>
      </c>
      <c r="F62" s="42" t="n"/>
      <c r="G62" s="44" t="n"/>
    </row>
    <row r="63" ht="16" customHeight="1" s="32">
      <c r="A63" s="39" t="n">
        <v>57</v>
      </c>
      <c r="B63" s="40" t="inlineStr">
        <is>
          <t>業務要件（詳細）</t>
        </is>
      </c>
      <c r="C63" s="43" t="inlineStr">
        <is>
          <t>AI危険予測</t>
        </is>
      </c>
      <c r="D63" s="43" t="inlineStr">
        <is>
          <t>AI映像解析要件</t>
        </is>
      </c>
      <c r="E63" s="40" t="inlineStr">
        <is>
          <t>区分:表示 | チェック項目:危険表示、作業手順掲示</t>
        </is>
      </c>
      <c r="F63" s="42" t="n"/>
      <c r="G63" s="44" t="n"/>
    </row>
    <row r="64" ht="16" customHeight="1" s="32">
      <c r="A64" s="39" t="n">
        <v>58</v>
      </c>
      <c r="B64" s="40" t="inlineStr">
        <is>
          <t>業務要件（詳細）</t>
        </is>
      </c>
      <c r="C64" s="43" t="inlineStr">
        <is>
          <t>AI危険予測</t>
        </is>
      </c>
      <c r="D64" s="43" t="inlineStr">
        <is>
          <t>AI映像解析要件</t>
        </is>
      </c>
      <c r="E64" s="40" t="inlineStr">
        <is>
          <t>項目:事故種別 | 説明:死亡/重傷/軽傷/応急手当のみ</t>
        </is>
      </c>
      <c r="F64" s="42" t="n"/>
      <c r="G64" s="44" t="n"/>
    </row>
    <row r="65" ht="16" customHeight="1" s="32">
      <c r="A65" s="39" t="n">
        <v>59</v>
      </c>
      <c r="B65" s="40" t="inlineStr">
        <is>
          <t>業務要件（詳細）</t>
        </is>
      </c>
      <c r="C65" s="43" t="inlineStr">
        <is>
          <t>AI危険予測</t>
        </is>
      </c>
      <c r="D65" s="43" t="inlineStr">
        <is>
          <t>AI映像解析要件</t>
        </is>
      </c>
      <c r="E65" s="40" t="inlineStr">
        <is>
          <t>項目:災害の種類 | 説明:墜落・転落/はさまれ/飛来落下/感電/倒壊等</t>
        </is>
      </c>
      <c r="F65" s="42" t="n"/>
      <c r="G65" s="44" t="n"/>
    </row>
    <row r="66" ht="16" customHeight="1" s="32">
      <c r="A66" s="39" t="n">
        <v>60</v>
      </c>
      <c r="B66" s="40" t="inlineStr">
        <is>
          <t>業務要件（詳細）</t>
        </is>
      </c>
      <c r="C66" s="43" t="inlineStr">
        <is>
          <t>AI危険予測</t>
        </is>
      </c>
      <c r="D66" s="43" t="inlineStr">
        <is>
          <t>AI映像解析要件</t>
        </is>
      </c>
      <c r="E66" s="40" t="inlineStr">
        <is>
          <t>項目:被災者情報 | 説明:年齢・経験年数・所属・資格</t>
        </is>
      </c>
      <c r="F66" s="42" t="n"/>
      <c r="G66" s="44" t="n"/>
    </row>
    <row r="67" ht="16" customHeight="1" s="32">
      <c r="A67" s="39" t="n">
        <v>61</v>
      </c>
      <c r="B67" s="40" t="inlineStr">
        <is>
          <t>業務要件（詳細）</t>
        </is>
      </c>
      <c r="C67" s="43" t="inlineStr">
        <is>
          <t>AI危険予測</t>
        </is>
      </c>
      <c r="D67" s="43" t="inlineStr">
        <is>
          <t>AI映像解析要件</t>
        </is>
      </c>
      <c r="E67" s="40" t="inlineStr">
        <is>
          <t>項目:発生状況 | 説明:5W1Hの記録</t>
        </is>
      </c>
      <c r="F67" s="42" t="n"/>
      <c r="G67" s="44" t="n"/>
    </row>
    <row r="68" ht="16" customHeight="1" s="32">
      <c r="A68" s="39" t="n">
        <v>62</v>
      </c>
      <c r="B68" s="40" t="inlineStr">
        <is>
          <t>業務要件（詳細）</t>
        </is>
      </c>
      <c r="C68" s="43" t="inlineStr">
        <is>
          <t>AI危険予測</t>
        </is>
      </c>
      <c r="D68" s="43" t="inlineStr">
        <is>
          <t>AI映像解析要件</t>
        </is>
      </c>
      <c r="E68" s="40" t="inlineStr">
        <is>
          <t>項目:原因分析 | 説明:直接原因・間接原因・根本原因</t>
        </is>
      </c>
      <c r="F68" s="42" t="n"/>
      <c r="G68" s="44" t="n"/>
    </row>
    <row r="69" ht="16" customHeight="1" s="32">
      <c r="A69" s="39" t="n">
        <v>63</v>
      </c>
      <c r="B69" s="40" t="inlineStr">
        <is>
          <t>業務要件（詳細）</t>
        </is>
      </c>
      <c r="C69" s="43" t="inlineStr">
        <is>
          <t>AI危険予測</t>
        </is>
      </c>
      <c r="D69" s="43" t="inlineStr">
        <is>
          <t>AI映像解析要件</t>
        </is>
      </c>
      <c r="E69" s="40" t="inlineStr">
        <is>
          <t>項目:休業日数 | 説明:労働損失日数</t>
        </is>
      </c>
      <c r="F69" s="42" t="n"/>
      <c r="G69" s="44" t="n"/>
    </row>
    <row r="70" ht="16" customHeight="1" s="32">
      <c r="A70" s="39" t="n">
        <v>64</v>
      </c>
      <c r="B70" s="40" t="inlineStr">
        <is>
          <t>業務要件（詳細）</t>
        </is>
      </c>
      <c r="C70" s="43" t="inlineStr">
        <is>
          <t>AI危険予測</t>
        </is>
      </c>
      <c r="D70" s="43" t="inlineStr">
        <is>
          <t>AI映像解析要件</t>
        </is>
      </c>
      <c r="E70" s="40" t="inlineStr">
        <is>
          <t>項目:再発防止策 | 説明:対策内容・実施期限・担当者</t>
        </is>
      </c>
      <c r="F70" s="42" t="n"/>
      <c r="G70" s="44" t="n"/>
    </row>
    <row r="71" ht="16" customHeight="1" s="32">
      <c r="A71" s="39" t="n">
        <v>65</v>
      </c>
      <c r="B71" s="40" t="inlineStr">
        <is>
          <t>業務要件（詳細）</t>
        </is>
      </c>
      <c r="C71" s="43" t="inlineStr">
        <is>
          <t>AI危険予測</t>
        </is>
      </c>
      <c r="D71" s="43" t="inlineStr">
        <is>
          <t>AI映像解析要件</t>
        </is>
      </c>
      <c r="E71" s="40" t="inlineStr">
        <is>
          <t>教育種別:新規入場者教育 | 頻度:初回 | 対象:全作業員</t>
        </is>
      </c>
      <c r="F71" s="42" t="n"/>
      <c r="G71" s="44" t="n"/>
    </row>
    <row r="72" ht="16" customHeight="1" s="32">
      <c r="A72" s="39" t="n">
        <v>66</v>
      </c>
      <c r="B72" s="40" t="inlineStr">
        <is>
          <t>業務要件（詳細）</t>
        </is>
      </c>
      <c r="C72" s="43" t="inlineStr">
        <is>
          <t>AI危険予測</t>
        </is>
      </c>
      <c r="D72" s="43" t="inlineStr">
        <is>
          <t>AI映像解析要件</t>
        </is>
      </c>
      <c r="E72" s="40" t="inlineStr">
        <is>
          <t>教育種別:職長教育 | 頻度:初回＋能力向上 | 対象:職長</t>
        </is>
      </c>
      <c r="F72" s="42" t="n"/>
      <c r="G72" s="44" t="n"/>
    </row>
    <row r="73" ht="16" customHeight="1" s="32">
      <c r="A73" s="39" t="n">
        <v>67</v>
      </c>
      <c r="B73" s="40" t="inlineStr">
        <is>
          <t>業務要件（詳細）</t>
        </is>
      </c>
      <c r="C73" s="43" t="inlineStr">
        <is>
          <t>AI危険予測</t>
        </is>
      </c>
      <c r="D73" s="43" t="inlineStr">
        <is>
          <t>AI映像解析要件</t>
        </is>
      </c>
      <c r="E73" s="40" t="inlineStr">
        <is>
          <t>教育種別:特別教育 | 頻度:資格取得時 | 対象:該当作業者</t>
        </is>
      </c>
      <c r="F73" s="42" t="n"/>
      <c r="G73" s="44" t="n"/>
    </row>
    <row r="74" ht="16" customHeight="1" s="32">
      <c r="A74" s="39" t="n">
        <v>68</v>
      </c>
      <c r="B74" s="40" t="inlineStr">
        <is>
          <t>業務要件（詳細）</t>
        </is>
      </c>
      <c r="C74" s="43" t="inlineStr">
        <is>
          <t>AI危険予測</t>
        </is>
      </c>
      <c r="D74" s="43" t="inlineStr">
        <is>
          <t>AI映像解析要件</t>
        </is>
      </c>
      <c r="E74" s="40" t="inlineStr">
        <is>
          <t>教育種別:月次安全教育 | 頻度:月1回 | 対象:全作業員</t>
        </is>
      </c>
      <c r="F74" s="42" t="n"/>
      <c r="G74" s="44" t="n"/>
    </row>
    <row r="75" ht="16" customHeight="1" s="32">
      <c r="A75" s="39" t="n">
        <v>69</v>
      </c>
      <c r="B75" s="40" t="inlineStr">
        <is>
          <t>業務要件（詳細）</t>
        </is>
      </c>
      <c r="C75" s="43" t="inlineStr">
        <is>
          <t>AI危険予測</t>
        </is>
      </c>
      <c r="D75" s="43" t="inlineStr">
        <is>
          <t>AI映像解析要件</t>
        </is>
      </c>
      <c r="E75" s="40" t="inlineStr">
        <is>
          <t>教育種別:安全大会 | 頻度:年1回 | 対象:全社</t>
        </is>
      </c>
      <c r="F75" s="42" t="n"/>
      <c r="G75" s="44" t="n"/>
    </row>
    <row r="76" ht="16" customHeight="1" s="32">
      <c r="A76" s="39" t="n">
        <v>70</v>
      </c>
      <c r="B76" s="40" t="inlineStr">
        <is>
          <t>業務要件（詳細）</t>
        </is>
      </c>
      <c r="C76" s="43" t="inlineStr">
        <is>
          <t>AI危険予測</t>
        </is>
      </c>
      <c r="D76" s="43" t="inlineStr">
        <is>
          <t>AI映像解析要件</t>
        </is>
      </c>
      <c r="E76" s="40" t="inlineStr">
        <is>
          <t>入力データ:作業内容・工種 | 予測内容:想定されるリスクと推奨対策</t>
        </is>
      </c>
      <c r="F76" s="42" t="n"/>
      <c r="G76" s="44" t="n"/>
    </row>
    <row r="77" ht="16" customHeight="1" s="32">
      <c r="A77" s="39" t="n">
        <v>71</v>
      </c>
      <c r="B77" s="40" t="inlineStr">
        <is>
          <t>業務要件（詳細）</t>
        </is>
      </c>
      <c r="C77" s="43" t="inlineStr">
        <is>
          <t>AI危険予測</t>
        </is>
      </c>
      <c r="D77" s="43" t="inlineStr">
        <is>
          <t>AI映像解析要件</t>
        </is>
      </c>
      <c r="E77" s="40" t="inlineStr">
        <is>
          <t>入力データ:天候予報 | 予測内容:天候に起因するリスク</t>
        </is>
      </c>
      <c r="F77" s="42" t="n"/>
      <c r="G77" s="44" t="n"/>
    </row>
    <row r="78" ht="16" customHeight="1" s="32">
      <c r="A78" s="39" t="n">
        <v>72</v>
      </c>
      <c r="B78" s="40" t="inlineStr">
        <is>
          <t>業務要件（詳細）</t>
        </is>
      </c>
      <c r="C78" s="43" t="inlineStr">
        <is>
          <t>AI危険予測</t>
        </is>
      </c>
      <c r="D78" s="43" t="inlineStr">
        <is>
          <t>AI映像解析要件</t>
        </is>
      </c>
      <c r="E78" s="40" t="inlineStr">
        <is>
          <t>入力データ:過去のヒヤリハット | 予測内容:類似条件での過去事例</t>
        </is>
      </c>
      <c r="F78" s="42" t="n"/>
      <c r="G78" s="44" t="n"/>
    </row>
    <row r="79" ht="16" customHeight="1" s="32">
      <c r="A79" s="39" t="n">
        <v>73</v>
      </c>
      <c r="B79" s="40" t="inlineStr">
        <is>
          <t>業務要件（詳細）</t>
        </is>
      </c>
      <c r="C79" s="43" t="inlineStr">
        <is>
          <t>AI危険予測</t>
        </is>
      </c>
      <c r="D79" s="43" t="inlineStr">
        <is>
          <t>AI映像解析要件</t>
        </is>
      </c>
      <c r="E79" s="40" t="inlineStr">
        <is>
          <t>入力データ:作業員の経験年数 | 予測内容:経験不足に起因するリスク</t>
        </is>
      </c>
      <c r="F79" s="42" t="n"/>
      <c r="G79" s="44" t="n"/>
    </row>
    <row r="80" ht="16" customHeight="1" s="32">
      <c r="A80" s="39" t="n">
        <v>74</v>
      </c>
      <c r="B80" s="40" t="inlineStr">
        <is>
          <t>業務要件（詳細）</t>
        </is>
      </c>
      <c r="C80" s="43" t="inlineStr">
        <is>
          <t>AI危険予測</t>
        </is>
      </c>
      <c r="D80" s="43" t="inlineStr">
        <is>
          <t>AI映像解析要件</t>
        </is>
      </c>
      <c r="E80" s="40" t="inlineStr">
        <is>
          <t>入力データ:時間帯 | 予測内容:疲労に起因するリスク（午後の事故率上昇）</t>
        </is>
      </c>
      <c r="F80" s="42" t="n"/>
      <c r="G80" s="44" t="n"/>
    </row>
    <row r="81" ht="16" customHeight="1" s="32">
      <c r="A81" s="39" t="n">
        <v>75</v>
      </c>
      <c r="B81" s="40" t="inlineStr">
        <is>
          <t>業務要件（詳細）</t>
        </is>
      </c>
      <c r="C81" s="43" t="inlineStr">
        <is>
          <t>AI危険予測</t>
        </is>
      </c>
      <c r="D81" s="43" t="inlineStr">
        <is>
          <t>AI映像解析要件</t>
        </is>
      </c>
      <c r="E81" s="40" t="inlineStr">
        <is>
          <t>検知対象:ヘルメット未着用 | 重要度:最高 | 対応:即時アラート</t>
        </is>
      </c>
      <c r="F81" s="42" t="n"/>
      <c r="G81" s="44" t="n"/>
    </row>
    <row r="82" ht="16" customHeight="1" s="32">
      <c r="A82" s="39" t="n">
        <v>76</v>
      </c>
      <c r="B82" s="40" t="inlineStr">
        <is>
          <t>業務要件（詳細）</t>
        </is>
      </c>
      <c r="C82" s="43" t="inlineStr">
        <is>
          <t>AI危険予測</t>
        </is>
      </c>
      <c r="D82" s="43" t="inlineStr">
        <is>
          <t>AI映像解析要件</t>
        </is>
      </c>
      <c r="E82" s="40" t="inlineStr">
        <is>
          <t>検知対象:安全帯未使用（高所） | 重要度:最高 | 対応:即時アラート</t>
        </is>
      </c>
      <c r="F82" s="42" t="n"/>
      <c r="G82" s="44" t="n"/>
    </row>
    <row r="83" ht="16" customHeight="1" s="32">
      <c r="A83" s="39" t="n">
        <v>77</v>
      </c>
      <c r="B83" s="40" t="inlineStr">
        <is>
          <t>業務要件（詳細）</t>
        </is>
      </c>
      <c r="C83" s="43" t="inlineStr">
        <is>
          <t>AI危険予測</t>
        </is>
      </c>
      <c r="D83" s="43" t="inlineStr">
        <is>
          <t>AI映像解析要件</t>
        </is>
      </c>
      <c r="E83" s="40" t="inlineStr">
        <is>
          <t>検知対象:立入禁止区域侵入 | 重要度:高 | 対応:即時アラート</t>
        </is>
      </c>
      <c r="F83" s="42" t="n"/>
      <c r="G83" s="44" t="n"/>
    </row>
    <row r="84" ht="16" customHeight="1" s="32">
      <c r="A84" s="39" t="n">
        <v>78</v>
      </c>
      <c r="B84" s="40" t="inlineStr">
        <is>
          <t>業務要件（詳細）</t>
        </is>
      </c>
      <c r="C84" s="43" t="inlineStr">
        <is>
          <t>AI危険予測</t>
        </is>
      </c>
      <c r="D84" s="43" t="inlineStr">
        <is>
          <t>AI映像解析要件</t>
        </is>
      </c>
      <c r="E84" s="40" t="inlineStr">
        <is>
          <t>検知対象:重機と作業員の接近 | 重要度:高 | 対応:即時アラート</t>
        </is>
      </c>
      <c r="F84" s="42" t="n"/>
      <c r="G84" s="44" t="n"/>
    </row>
    <row r="85" ht="16" customHeight="1" s="32">
      <c r="A85" s="39" t="n">
        <v>79</v>
      </c>
      <c r="B85" s="40" t="inlineStr">
        <is>
          <t>業務要件（詳細）</t>
        </is>
      </c>
      <c r="C85" s="43" t="inlineStr">
        <is>
          <t>AI危険予測</t>
        </is>
      </c>
      <c r="D85" s="43" t="inlineStr">
        <is>
          <t>AI映像解析要件</t>
        </is>
      </c>
      <c r="E85" s="40" t="inlineStr">
        <is>
          <t>検知対象:不安全行動の検知 | 重要度:中 | 対応:記録・後分析</t>
        </is>
      </c>
      <c r="F85" s="42" t="n"/>
      <c r="G85" s="44" t="n"/>
    </row>
    <row r="86" ht="16" customHeight="1" s="32"/>
    <row r="87" ht="32" customHeight="1" s="32">
      <c r="A87" s="45" t="inlineStr">
        <is>
          <t>合計業務項目数: 79件</t>
        </is>
      </c>
    </row>
  </sheetData>
  <autoFilter ref="A4:G85"/>
  <mergeCells count="4">
    <mergeCell ref="A2:G2"/>
    <mergeCell ref="A1:G1"/>
    <mergeCell ref="A5:G5"/>
    <mergeCell ref="A12:G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安全管理部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全社安全衛生計画の策定・実行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安全パトロールの実施・是正指導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労働災害の防止と発生時の対応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ヒヤリハット活動の推進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部署概要</t>
        </is>
      </c>
      <c r="C11" s="40" t="inlineStr">
        <is>
          <t>部署ミッション</t>
        </is>
      </c>
      <c r="D11" s="40" t="inlineStr">
        <is>
          <t>安全教育の企画・実施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16" customHeight="1" s="32">
      <c r="A12" s="54" t="n">
        <v>6</v>
      </c>
      <c r="B12" s="40" t="inlineStr">
        <is>
          <t>部署概要</t>
        </is>
      </c>
      <c r="C12" s="40" t="inlineStr">
        <is>
          <t>部署ミッション</t>
        </is>
      </c>
      <c r="D12" s="43" t="inlineStr">
        <is>
          <t>ISO45001の運用・維持</t>
        </is>
      </c>
      <c r="E12" s="54" t="n"/>
      <c r="F12" s="43" t="n"/>
      <c r="G12" s="43" t="n"/>
      <c r="H12" s="54" t="n"/>
      <c r="I12" s="54" t="n"/>
      <c r="J12" s="54" t="n"/>
      <c r="K12" s="54" t="n"/>
    </row>
    <row r="13" ht="32" customHeight="1" s="32">
      <c r="A13" s="51" t="inlineStr">
        <is>
          <t>■ 業務要件（詳細）</t>
        </is>
      </c>
      <c r="B13" s="52" t="n"/>
      <c r="C13" s="52" t="n"/>
      <c r="D13" s="52" t="n"/>
      <c r="E13" s="53" t="n"/>
      <c r="F13" s="52" t="n"/>
      <c r="G13" s="52" t="n"/>
      <c r="H13" s="53" t="n"/>
      <c r="I13" s="53" t="n"/>
      <c r="J13" s="53" t="n"/>
      <c r="K13" s="53" t="n"/>
    </row>
    <row r="14" ht="16" customHeight="1" s="32">
      <c r="A14" s="54" t="n">
        <v>7</v>
      </c>
      <c r="B14" s="40" t="inlineStr">
        <is>
          <t>業務要件（詳細）</t>
        </is>
      </c>
      <c r="C14" s="40" t="inlineStr">
        <is>
          <t>ヒヤリハット管理</t>
        </is>
      </c>
      <c r="D14" s="40" t="inlineStr">
        <is>
          <t>月次・年次のヒヤリハット報告件数推移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業務要件（詳細）</t>
        </is>
      </c>
      <c r="C15" s="40" t="inlineStr">
        <is>
          <t>ヒヤリハット管理</t>
        </is>
      </c>
      <c r="D15" s="40" t="inlineStr">
        <is>
          <t>危険の種類別集計（パレート図）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業務要件（詳細）</t>
        </is>
      </c>
      <c r="C16" s="40" t="inlineStr">
        <is>
          <t>ヒヤリハット管理</t>
        </is>
      </c>
      <c r="D16" s="40" t="inlineStr">
        <is>
          <t>現場別・工種別の発生頻度分析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業務要件（詳細）</t>
        </is>
      </c>
      <c r="C17" s="40" t="inlineStr">
        <is>
          <t>ヒヤリハット管理</t>
        </is>
      </c>
      <c r="D17" s="43" t="inlineStr">
        <is>
          <t>4M分析の傾向分析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業務要件（詳細）</t>
        </is>
      </c>
      <c r="C18" s="40" t="inlineStr">
        <is>
          <t>ヒヤリハット管理</t>
        </is>
      </c>
      <c r="D18" s="40" t="inlineStr">
        <is>
          <t>類似ヒヤリハットの自動検索（AIによるテキスト類似度）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業務要件（詳細）</t>
        </is>
      </c>
      <c r="C19" s="40" t="inlineStr">
        <is>
          <t>ヒヤリハット管理</t>
        </is>
      </c>
      <c r="D19" s="40" t="inlineStr">
        <is>
          <t>ヒヤリハットマップ（GIS上に発生位置をプロット）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13</v>
      </c>
      <c r="B20" s="40" t="inlineStr">
        <is>
          <t>業務要件（詳細）</t>
        </is>
      </c>
      <c r="C20" s="40" t="inlineStr">
        <is>
          <t>ヒヤリハット管理</t>
        </is>
      </c>
      <c r="D20" s="40" t="inlineStr">
        <is>
          <t>圏外現場でのオフライン報告入力必須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14</v>
      </c>
      <c r="B21" s="40" t="inlineStr">
        <is>
          <t>業務要件（詳細）</t>
        </is>
      </c>
      <c r="C21" s="40" t="inlineStr">
        <is>
          <t>ヒヤリハット管理</t>
        </is>
      </c>
      <c r="D21" s="40" t="inlineStr">
        <is>
          <t>写真撮影・添付のオフライン対応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15</v>
      </c>
      <c r="B22" s="40" t="inlineStr">
        <is>
          <t>業務要件（詳細）</t>
        </is>
      </c>
      <c r="C22" s="40" t="inlineStr">
        <is>
          <t>ヒヤリハット管理</t>
        </is>
      </c>
      <c r="D22" s="40" t="inlineStr">
        <is>
          <t>ネットワーク復帰時の自動同期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16</v>
      </c>
      <c r="B23" s="40" t="inlineStr">
        <is>
          <t>業務要件（詳細）</t>
        </is>
      </c>
      <c r="C23" s="40" t="inlineStr">
        <is>
          <t>安全パトロール</t>
        </is>
      </c>
      <c r="D23" s="40" t="inlineStr">
        <is>
          <t>工種別のチェックリストテンプレート管理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17</v>
      </c>
      <c r="B24" s="40" t="inlineStr">
        <is>
          <t>業務要件（詳細）</t>
        </is>
      </c>
      <c r="C24" s="40" t="inlineStr">
        <is>
          <t>安全パトロール</t>
        </is>
      </c>
      <c r="D24" s="40" t="inlineStr">
        <is>
          <t>チェック項目の5段階評価（優/良/可/不可/該当なし）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18</v>
      </c>
      <c r="B25" s="40" t="inlineStr">
        <is>
          <t>業務要件（詳細）</t>
        </is>
      </c>
      <c r="C25" s="40" t="inlineStr">
        <is>
          <t>安全パトロール</t>
        </is>
      </c>
      <c r="D25" s="40" t="inlineStr">
        <is>
          <t>不適合項目の是正指示→フォローアップ管理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19</v>
      </c>
      <c r="B26" s="40" t="inlineStr">
        <is>
          <t>業務要件（詳細）</t>
        </is>
      </c>
      <c r="C26" s="40" t="inlineStr">
        <is>
          <t>安全パトロール</t>
        </is>
      </c>
      <c r="D26" s="40" t="inlineStr">
        <is>
          <t>写真付き記録（指摘箇所・是正後の比較写真）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20</v>
      </c>
      <c r="B27" s="40" t="inlineStr">
        <is>
          <t>業務要件（詳細）</t>
        </is>
      </c>
      <c r="C27" s="40" t="inlineStr">
        <is>
          <t>安全パトロール</t>
        </is>
      </c>
      <c r="D27" s="40" t="inlineStr">
        <is>
          <t>パトロール結果の自動採点（100点満点）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21</v>
      </c>
      <c r="B28" s="40" t="inlineStr">
        <is>
          <t>業務要件（詳細）</t>
        </is>
      </c>
      <c r="C28" s="40" t="inlineStr">
        <is>
          <t>安全パトロール</t>
        </is>
      </c>
      <c r="D28" s="40" t="inlineStr">
        <is>
          <t>是正期限超過の自動アラート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22</v>
      </c>
      <c r="B29" s="40" t="inlineStr">
        <is>
          <t>業務要件（詳細）</t>
        </is>
      </c>
      <c r="C29" s="40" t="inlineStr">
        <is>
          <t>安全パトロール</t>
        </is>
      </c>
      <c r="D29" s="40" t="inlineStr">
        <is>
          <t>是正完了率の管理（目標：期限内完了率95%以上）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23</v>
      </c>
      <c r="B30" s="40" t="inlineStr">
        <is>
          <t>業務要件（詳細）</t>
        </is>
      </c>
      <c r="C30" s="40" t="inlineStr">
        <is>
          <t>労災事故管理</t>
        </is>
      </c>
      <c r="D30" s="40" t="inlineStr">
        <is>
          <t>度数率・強度率の自動計算（月次・年次）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24</v>
      </c>
      <c r="B31" s="40" t="inlineStr">
        <is>
          <t>業務要件（詳細）</t>
        </is>
      </c>
      <c r="C31" s="40" t="inlineStr">
        <is>
          <t>労災事故管理</t>
        </is>
      </c>
      <c r="D31" s="40" t="inlineStr">
        <is>
          <t>災害の種類別・工種別の統計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25</v>
      </c>
      <c r="B32" s="40" t="inlineStr">
        <is>
          <t>業務要件（詳細）</t>
        </is>
      </c>
      <c r="C32" s="40" t="inlineStr">
        <is>
          <t>労災事故管理</t>
        </is>
      </c>
      <c r="D32" s="40" t="inlineStr">
        <is>
          <t>業界平均との比較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26</v>
      </c>
      <c r="B33" s="40" t="inlineStr">
        <is>
          <t>業務要件（詳細）</t>
        </is>
      </c>
      <c r="C33" s="40" t="inlineStr">
        <is>
          <t>労災事故管理</t>
        </is>
      </c>
      <c r="D33" s="40" t="inlineStr">
        <is>
          <t>前年同期比の推移分析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27</v>
      </c>
      <c r="B34" s="40" t="inlineStr">
        <is>
          <t>業務要件（詳細）</t>
        </is>
      </c>
      <c r="C34" s="40" t="inlineStr">
        <is>
          <t>労災事故管理</t>
        </is>
      </c>
      <c r="D34" s="40" t="inlineStr">
        <is>
          <t>連続無災害記録の管理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28</v>
      </c>
      <c r="B35" s="40" t="inlineStr">
        <is>
          <t>業務要件（詳細）</t>
        </is>
      </c>
      <c r="C35" s="40" t="inlineStr">
        <is>
          <t>安全教育管理</t>
        </is>
      </c>
      <c r="D35" s="40" t="inlineStr">
        <is>
          <t>受講履歴の管理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16" customHeight="1" s="32">
      <c r="A36" s="54" t="n">
        <v>29</v>
      </c>
      <c r="B36" s="40" t="inlineStr">
        <is>
          <t>業務要件（詳細）</t>
        </is>
      </c>
      <c r="C36" s="40" t="inlineStr">
        <is>
          <t>安全教育管理</t>
        </is>
      </c>
      <c r="D36" s="40" t="inlineStr">
        <is>
          <t>未受講者への自動リマインダー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30</v>
      </c>
      <c r="B37" s="40" t="inlineStr">
        <is>
          <t>業務要件（詳細）</t>
        </is>
      </c>
      <c r="C37" s="40" t="inlineStr">
        <is>
          <t>安全教育管理</t>
        </is>
      </c>
      <c r="D37" s="40" t="inlineStr">
        <is>
          <t>教育資料のDB管理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31</v>
      </c>
      <c r="B38" s="40" t="inlineStr">
        <is>
          <t>業務要件（詳細）</t>
        </is>
      </c>
      <c r="C38" s="40" t="inlineStr">
        <is>
          <t>安全教育管理</t>
        </is>
      </c>
      <c r="D38" s="40" t="inlineStr">
        <is>
          <t>教育効果の測定（テスト結果管理）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32</v>
      </c>
      <c r="B39" s="40" t="inlineStr">
        <is>
          <t>業務要件（詳細）</t>
        </is>
      </c>
      <c r="C39" s="43" t="inlineStr">
        <is>
          <t>AI危険予測</t>
        </is>
      </c>
      <c r="D39" s="40" t="inlineStr">
        <is>
          <t>項目:文書ID | 内容:BIZ-ANZ-001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33</v>
      </c>
      <c r="B40" s="40" t="inlineStr">
        <is>
          <t>業務要件（詳細）</t>
        </is>
      </c>
      <c r="C40" s="43" t="inlineStr">
        <is>
          <t>AI危険予測</t>
        </is>
      </c>
      <c r="D40" s="40" t="inlineStr">
        <is>
          <t>項目:版数 | 内容:1.0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34</v>
      </c>
      <c r="B41" s="40" t="inlineStr">
        <is>
          <t>業務要件（詳細）</t>
        </is>
      </c>
      <c r="C41" s="43" t="inlineStr">
        <is>
          <t>AI危険予測</t>
        </is>
      </c>
      <c r="D41" s="40" t="inlineStr">
        <is>
          <t>項目:作成日 | 内容:2026年5月16日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35</v>
      </c>
      <c r="B42" s="40" t="inlineStr">
        <is>
          <t>業務要件（詳細）</t>
        </is>
      </c>
      <c r="C42" s="43" t="inlineStr">
        <is>
          <t>AI危険予測</t>
        </is>
      </c>
      <c r="D42" s="40" t="inlineStr">
        <is>
          <t>項目:対象部署 | 内容:安全品質環境本部 安全管理部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32" customHeight="1" s="32">
      <c r="A43" s="54" t="n">
        <v>36</v>
      </c>
      <c r="B43" s="40" t="inlineStr">
        <is>
          <t>業務要件（詳細）</t>
        </is>
      </c>
      <c r="C43" s="43" t="inlineStr">
        <is>
          <t>AI危険予測</t>
        </is>
      </c>
      <c r="D43" s="40" t="inlineStr">
        <is>
          <t>項目:対象システム | 内容:Safety &amp; Quality Governance Platform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37</v>
      </c>
      <c r="B44" s="40" t="inlineStr">
        <is>
          <t>業務要件（詳細）</t>
        </is>
      </c>
      <c r="C44" s="43" t="inlineStr">
        <is>
          <t>AI危険予測</t>
        </is>
      </c>
      <c r="D44" s="40" t="inlineStr">
        <is>
          <t>項目:発生日時 | 必須:○ | 説明:日時選択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38</v>
      </c>
      <c r="B45" s="40" t="inlineStr">
        <is>
          <t>業務要件（詳細）</t>
        </is>
      </c>
      <c r="C45" s="43" t="inlineStr">
        <is>
          <t>AI危険予測</t>
        </is>
      </c>
      <c r="D45" s="40" t="inlineStr">
        <is>
          <t>項目:発生場所 | 必須:○ | 説明:現場名＋詳細位置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39</v>
      </c>
      <c r="B46" s="40" t="inlineStr">
        <is>
          <t>業務要件（詳細）</t>
        </is>
      </c>
      <c r="C46" s="43" t="inlineStr">
        <is>
          <t>AI危険予測</t>
        </is>
      </c>
      <c r="D46" s="40" t="inlineStr">
        <is>
          <t>項目:状況説明 | 必須:○ | 説明:何が起きたか（テキスト）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4" t="n">
        <v>40</v>
      </c>
      <c r="B47" s="40" t="inlineStr">
        <is>
          <t>業務要件（詳細）</t>
        </is>
      </c>
      <c r="C47" s="43" t="inlineStr">
        <is>
          <t>AI危険予測</t>
        </is>
      </c>
      <c r="D47" s="40" t="inlineStr">
        <is>
          <t>項目:写真 | 必須:△ | 説明:状況写真（複数枚可）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32" customHeight="1" s="32">
      <c r="A48" s="54" t="n">
        <v>41</v>
      </c>
      <c r="B48" s="40" t="inlineStr">
        <is>
          <t>業務要件（詳細）</t>
        </is>
      </c>
      <c r="C48" s="43" t="inlineStr">
        <is>
          <t>AI危険予測</t>
        </is>
      </c>
      <c r="D48" s="40" t="inlineStr">
        <is>
          <t>項目:危険の種類 | 必須:○ | 説明:墜落/転倒/挟まれ/感電/崩壊等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42</v>
      </c>
      <c r="B49" s="40" t="inlineStr">
        <is>
          <t>業務要件（詳細）</t>
        </is>
      </c>
      <c r="C49" s="43" t="inlineStr">
        <is>
          <t>AI危険予測</t>
        </is>
      </c>
      <c r="D49" s="40" t="inlineStr">
        <is>
          <t>項目:作業内容 | 必須:○ | 説明:発生時の作業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43</v>
      </c>
      <c r="B50" s="40" t="inlineStr">
        <is>
          <t>業務要件（詳細）</t>
        </is>
      </c>
      <c r="C50" s="43" t="inlineStr">
        <is>
          <t>AI危険予測</t>
        </is>
      </c>
      <c r="D50" s="40" t="inlineStr">
        <is>
          <t>項目:原因分類 | 必須:○ | 説明:不安全行動/不安全状態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44</v>
      </c>
      <c r="B51" s="40" t="inlineStr">
        <is>
          <t>業務要件（詳細）</t>
        </is>
      </c>
      <c r="C51" s="43" t="inlineStr">
        <is>
          <t>AI危険予測</t>
        </is>
      </c>
      <c r="D51" s="40" t="inlineStr">
        <is>
          <t>項目:リスクレベル | 必須:○ | 説明:高/中/低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32" customHeight="1" s="32">
      <c r="A52" s="54" t="n">
        <v>45</v>
      </c>
      <c r="B52" s="40" t="inlineStr">
        <is>
          <t>業務要件（詳細）</t>
        </is>
      </c>
      <c r="C52" s="43" t="inlineStr">
        <is>
          <t>AI危険予測</t>
        </is>
      </c>
      <c r="D52" s="40" t="inlineStr">
        <is>
          <t>項目:4M分析 | 必須:△ | 説明:Man/Machine/Media/Management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46</v>
      </c>
      <c r="B53" s="40" t="inlineStr">
        <is>
          <t>業務要件（詳細）</t>
        </is>
      </c>
      <c r="C53" s="43" t="inlineStr">
        <is>
          <t>AI危険予測</t>
        </is>
      </c>
      <c r="D53" s="40" t="inlineStr">
        <is>
          <t>項目:対策 | 必須:△ | 説明:再発防止策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47</v>
      </c>
      <c r="B54" s="40" t="inlineStr">
        <is>
          <t>業務要件（詳細）</t>
        </is>
      </c>
      <c r="C54" s="43" t="inlineStr">
        <is>
          <t>AI危険予測</t>
        </is>
      </c>
      <c r="D54" s="40" t="inlineStr">
        <is>
          <t>種別:本社パトロール | 頻度:月1回/現場 | 実施者:安全管理部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48</v>
      </c>
      <c r="B55" s="40" t="inlineStr">
        <is>
          <t>業務要件（詳細）</t>
        </is>
      </c>
      <c r="C55" s="43" t="inlineStr">
        <is>
          <t>AI危険予測</t>
        </is>
      </c>
      <c r="D55" s="40" t="inlineStr">
        <is>
          <t>種別:支店パトロール | 頻度:月2回/現場 | 実施者:支店安全担当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16" customHeight="1" s="32">
      <c r="A56" s="54" t="n">
        <v>49</v>
      </c>
      <c r="B56" s="40" t="inlineStr">
        <is>
          <t>業務要件（詳細）</t>
        </is>
      </c>
      <c r="C56" s="43" t="inlineStr">
        <is>
          <t>AI危険予測</t>
        </is>
      </c>
      <c r="D56" s="40" t="inlineStr">
        <is>
          <t>種別:所長パトロール | 頻度:週1回 | 実施者:現場代理人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16" customHeight="1" s="32">
      <c r="A57" s="54" t="n">
        <v>50</v>
      </c>
      <c r="B57" s="40" t="inlineStr">
        <is>
          <t>業務要件（詳細）</t>
        </is>
      </c>
      <c r="C57" s="43" t="inlineStr">
        <is>
          <t>AI危険予測</t>
        </is>
      </c>
      <c r="D57" s="40" t="inlineStr">
        <is>
          <t>種別:随時パトロール | 頻度:随時 | 実施者:安全管理部・支店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32" customHeight="1" s="32">
      <c r="A58" s="54" t="n">
        <v>51</v>
      </c>
      <c r="B58" s="40" t="inlineStr">
        <is>
          <t>業務要件（詳細）</t>
        </is>
      </c>
      <c r="C58" s="43" t="inlineStr">
        <is>
          <t>AI危険予測</t>
        </is>
      </c>
      <c r="D58" s="40" t="inlineStr">
        <is>
          <t>区分:服装・保護具 | チェック項目:ヘルメット着用、安全帯着用、ライフジャケット着用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16" customHeight="1" s="32">
      <c r="A59" s="54" t="n">
        <v>52</v>
      </c>
      <c r="B59" s="40" t="inlineStr">
        <is>
          <t>業務要件（詳細）</t>
        </is>
      </c>
      <c r="C59" s="43" t="inlineStr">
        <is>
          <t>AI危険予測</t>
        </is>
      </c>
      <c r="D59" s="40" t="inlineStr">
        <is>
          <t>区分:仮設設備 | チェック項目:手すり・中さん・幅木の設置状況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53</v>
      </c>
      <c r="B60" s="40" t="inlineStr">
        <is>
          <t>業務要件（詳細）</t>
        </is>
      </c>
      <c r="C60" s="43" t="inlineStr">
        <is>
          <t>AI危険予測</t>
        </is>
      </c>
      <c r="D60" s="40" t="inlineStr">
        <is>
          <t>区分:重機 | チェック項目:作業半径内立入禁止措置、誘導員の配置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4" t="n">
        <v>54</v>
      </c>
      <c r="B61" s="40" t="inlineStr">
        <is>
          <t>業務要件（詳細）</t>
        </is>
      </c>
      <c r="C61" s="43" t="inlineStr">
        <is>
          <t>AI危険予測</t>
        </is>
      </c>
      <c r="D61" s="40" t="inlineStr">
        <is>
          <t>区分:海上作業 | チェック項目:救命設備、気象情報確認、作業中止基準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16" customHeight="1" s="32">
      <c r="A62" s="54" t="n">
        <v>55</v>
      </c>
      <c r="B62" s="40" t="inlineStr">
        <is>
          <t>業務要件（詳細）</t>
        </is>
      </c>
      <c r="C62" s="43" t="inlineStr">
        <is>
          <t>AI危険予測</t>
        </is>
      </c>
      <c r="D62" s="40" t="inlineStr">
        <is>
          <t>区分:電気 | チェック項目:漏電ブレーカー設置、仮設電気配線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16" customHeight="1" s="32">
      <c r="A63" s="54" t="n">
        <v>56</v>
      </c>
      <c r="B63" s="40" t="inlineStr">
        <is>
          <t>業務要件（詳細）</t>
        </is>
      </c>
      <c r="C63" s="43" t="inlineStr">
        <is>
          <t>AI危険予測</t>
        </is>
      </c>
      <c r="D63" s="40" t="inlineStr">
        <is>
          <t>区分:整理整頓 | チェック項目:資材の整理整頓、通路の確保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16" customHeight="1" s="32">
      <c r="A64" s="54" t="n">
        <v>57</v>
      </c>
      <c r="B64" s="40" t="inlineStr">
        <is>
          <t>業務要件（詳細）</t>
        </is>
      </c>
      <c r="C64" s="43" t="inlineStr">
        <is>
          <t>AI危険予測</t>
        </is>
      </c>
      <c r="D64" s="40" t="inlineStr">
        <is>
          <t>区分:表示 | チェック項目:危険表示、作業手順掲示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16" customHeight="1" s="32">
      <c r="A65" s="54" t="n">
        <v>58</v>
      </c>
      <c r="B65" s="40" t="inlineStr">
        <is>
          <t>業務要件（詳細）</t>
        </is>
      </c>
      <c r="C65" s="43" t="inlineStr">
        <is>
          <t>AI危険予測</t>
        </is>
      </c>
      <c r="D65" s="40" t="inlineStr">
        <is>
          <t>項目:事故種別 | 説明:死亡/重傷/軽傷/応急手当のみ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16" customHeight="1" s="32">
      <c r="A66" s="54" t="n">
        <v>59</v>
      </c>
      <c r="B66" s="40" t="inlineStr">
        <is>
          <t>業務要件（詳細）</t>
        </is>
      </c>
      <c r="C66" s="43" t="inlineStr">
        <is>
          <t>AI危険予測</t>
        </is>
      </c>
      <c r="D66" s="40" t="inlineStr">
        <is>
          <t>項目:災害の種類 | 説明:墜落・転落/はさまれ/飛来落下/感電/倒壊等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16" customHeight="1" s="32">
      <c r="A67" s="54" t="n">
        <v>60</v>
      </c>
      <c r="B67" s="40" t="inlineStr">
        <is>
          <t>業務要件（詳細）</t>
        </is>
      </c>
      <c r="C67" s="43" t="inlineStr">
        <is>
          <t>AI危険予測</t>
        </is>
      </c>
      <c r="D67" s="40" t="inlineStr">
        <is>
          <t>項目:被災者情報 | 説明:年齢・経験年数・所属・資格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16" customHeight="1" s="32">
      <c r="A68" s="54" t="n">
        <v>61</v>
      </c>
      <c r="B68" s="40" t="inlineStr">
        <is>
          <t>業務要件（詳細）</t>
        </is>
      </c>
      <c r="C68" s="43" t="inlineStr">
        <is>
          <t>AI危険予測</t>
        </is>
      </c>
      <c r="D68" s="40" t="inlineStr">
        <is>
          <t>項目:発生状況 | 説明:5W1Hの記録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62</v>
      </c>
      <c r="B69" s="40" t="inlineStr">
        <is>
          <t>業務要件（詳細）</t>
        </is>
      </c>
      <c r="C69" s="43" t="inlineStr">
        <is>
          <t>AI危険予測</t>
        </is>
      </c>
      <c r="D69" s="40" t="inlineStr">
        <is>
          <t>項目:原因分析 | 説明:直接原因・間接原因・根本原因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63</v>
      </c>
      <c r="B70" s="40" t="inlineStr">
        <is>
          <t>業務要件（詳細）</t>
        </is>
      </c>
      <c r="C70" s="43" t="inlineStr">
        <is>
          <t>AI危険予測</t>
        </is>
      </c>
      <c r="D70" s="40" t="inlineStr">
        <is>
          <t>項目:休業日数 | 説明:労働損失日数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16" customHeight="1" s="32">
      <c r="A71" s="54" t="n">
        <v>64</v>
      </c>
      <c r="B71" s="40" t="inlineStr">
        <is>
          <t>業務要件（詳細）</t>
        </is>
      </c>
      <c r="C71" s="43" t="inlineStr">
        <is>
          <t>AI危険予測</t>
        </is>
      </c>
      <c r="D71" s="40" t="inlineStr">
        <is>
          <t>項目:再発防止策 | 説明:対策内容・実施期限・担当者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65</v>
      </c>
      <c r="B72" s="40" t="inlineStr">
        <is>
          <t>業務要件（詳細）</t>
        </is>
      </c>
      <c r="C72" s="43" t="inlineStr">
        <is>
          <t>AI危険予測</t>
        </is>
      </c>
      <c r="D72" s="40" t="inlineStr">
        <is>
          <t>教育種別:新規入場者教育 | 頻度:初回 | 対象:全作業員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66</v>
      </c>
      <c r="B73" s="40" t="inlineStr">
        <is>
          <t>業務要件（詳細）</t>
        </is>
      </c>
      <c r="C73" s="43" t="inlineStr">
        <is>
          <t>AI危険予測</t>
        </is>
      </c>
      <c r="D73" s="40" t="inlineStr">
        <is>
          <t>教育種別:職長教育 | 頻度:初回＋能力向上 | 対象:職長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16" customHeight="1" s="32">
      <c r="A74" s="54" t="n">
        <v>67</v>
      </c>
      <c r="B74" s="40" t="inlineStr">
        <is>
          <t>業務要件（詳細）</t>
        </is>
      </c>
      <c r="C74" s="43" t="inlineStr">
        <is>
          <t>AI危険予測</t>
        </is>
      </c>
      <c r="D74" s="40" t="inlineStr">
        <is>
          <t>教育種別:特別教育 | 頻度:資格取得時 | 対象:該当作業者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4" t="n">
        <v>68</v>
      </c>
      <c r="B75" s="40" t="inlineStr">
        <is>
          <t>業務要件（詳細）</t>
        </is>
      </c>
      <c r="C75" s="43" t="inlineStr">
        <is>
          <t>AI危険予測</t>
        </is>
      </c>
      <c r="D75" s="40" t="inlineStr">
        <is>
          <t>教育種別:月次安全教育 | 頻度:月1回 | 対象:全作業員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4" t="n">
        <v>69</v>
      </c>
      <c r="B76" s="40" t="inlineStr">
        <is>
          <t>業務要件（詳細）</t>
        </is>
      </c>
      <c r="C76" s="43" t="inlineStr">
        <is>
          <t>AI危険予測</t>
        </is>
      </c>
      <c r="D76" s="40" t="inlineStr">
        <is>
          <t>教育種別:安全大会 | 頻度:年1回 | 対象:全社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70</v>
      </c>
      <c r="B77" s="40" t="inlineStr">
        <is>
          <t>業務要件（詳細）</t>
        </is>
      </c>
      <c r="C77" s="43" t="inlineStr">
        <is>
          <t>AI危険予測</t>
        </is>
      </c>
      <c r="D77" s="40" t="inlineStr">
        <is>
          <t>入力データ:作業内容・工種 | 予測内容:想定されるリスクと推奨対策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71</v>
      </c>
      <c r="B78" s="40" t="inlineStr">
        <is>
          <t>業務要件（詳細）</t>
        </is>
      </c>
      <c r="C78" s="43" t="inlineStr">
        <is>
          <t>AI危険予測</t>
        </is>
      </c>
      <c r="D78" s="40" t="inlineStr">
        <is>
          <t>入力データ:天候予報 | 予測内容:天候に起因するリスク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72</v>
      </c>
      <c r="B79" s="40" t="inlineStr">
        <is>
          <t>業務要件（詳細）</t>
        </is>
      </c>
      <c r="C79" s="43" t="inlineStr">
        <is>
          <t>AI危険予測</t>
        </is>
      </c>
      <c r="D79" s="40" t="inlineStr">
        <is>
          <t>入力データ:過去のヒヤリハット | 予測内容:類似条件での過去事例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16" customHeight="1" s="32">
      <c r="A80" s="54" t="n">
        <v>73</v>
      </c>
      <c r="B80" s="40" t="inlineStr">
        <is>
          <t>業務要件（詳細）</t>
        </is>
      </c>
      <c r="C80" s="43" t="inlineStr">
        <is>
          <t>AI危険予測</t>
        </is>
      </c>
      <c r="D80" s="40" t="inlineStr">
        <is>
          <t>入力データ:作業員の経験年数 | 予測内容:経験不足に起因するリスク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32" customHeight="1" s="32">
      <c r="A81" s="54" t="n">
        <v>74</v>
      </c>
      <c r="B81" s="40" t="inlineStr">
        <is>
          <t>業務要件（詳細）</t>
        </is>
      </c>
      <c r="C81" s="43" t="inlineStr">
        <is>
          <t>AI危険予測</t>
        </is>
      </c>
      <c r="D81" s="40" t="inlineStr">
        <is>
          <t>入力データ:時間帯 | 予測内容:疲労に起因するリスク（午後の事故率上昇）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16" customHeight="1" s="32">
      <c r="A82" s="54" t="n">
        <v>75</v>
      </c>
      <c r="B82" s="40" t="inlineStr">
        <is>
          <t>業務要件（詳細）</t>
        </is>
      </c>
      <c r="C82" s="43" t="inlineStr">
        <is>
          <t>AI危険予測</t>
        </is>
      </c>
      <c r="D82" s="40" t="inlineStr">
        <is>
          <t>検知対象:ヘルメット未着用 | 重要度:最高 | 対応:即時アラート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16" customHeight="1" s="32">
      <c r="A83" s="54" t="n">
        <v>76</v>
      </c>
      <c r="B83" s="40" t="inlineStr">
        <is>
          <t>業務要件（詳細）</t>
        </is>
      </c>
      <c r="C83" s="43" t="inlineStr">
        <is>
          <t>AI危険予測</t>
        </is>
      </c>
      <c r="D83" s="40" t="inlineStr">
        <is>
          <t>検知対象:安全帯未使用（高所） | 重要度:最高 | 対応:即時アラート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16" customHeight="1" s="32">
      <c r="A84" s="54" t="n">
        <v>77</v>
      </c>
      <c r="B84" s="40" t="inlineStr">
        <is>
          <t>業務要件（詳細）</t>
        </is>
      </c>
      <c r="C84" s="43" t="inlineStr">
        <is>
          <t>AI危険予測</t>
        </is>
      </c>
      <c r="D84" s="40" t="inlineStr">
        <is>
          <t>検知対象:立入禁止区域侵入 | 重要度:高 | 対応:即時アラート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78</v>
      </c>
      <c r="B85" s="40" t="inlineStr">
        <is>
          <t>業務要件（詳細）</t>
        </is>
      </c>
      <c r="C85" s="43" t="inlineStr">
        <is>
          <t>AI危険予測</t>
        </is>
      </c>
      <c r="D85" s="40" t="inlineStr">
        <is>
          <t>検知対象:重機と作業員の接近 | 重要度:高 | 対応:即時アラート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16" customHeight="1" s="32">
      <c r="A86" s="54" t="n">
        <v>79</v>
      </c>
      <c r="B86" s="40" t="inlineStr">
        <is>
          <t>業務要件（詳細）</t>
        </is>
      </c>
      <c r="C86" s="43" t="inlineStr">
        <is>
          <t>AI危険予測</t>
        </is>
      </c>
      <c r="D86" s="40" t="inlineStr">
        <is>
          <t>検知対象:不安全行動の検知 | 重要度:中 | 対応:記録・後分析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16" customHeight="1" s="32">
      <c r="A87" s="55" t="n"/>
      <c r="B87" s="56" t="n"/>
      <c r="C87" s="56" t="n"/>
      <c r="D87" s="56" t="n"/>
      <c r="E87" s="55" t="n"/>
      <c r="F87" s="56" t="n"/>
      <c r="G87" s="56" t="n"/>
      <c r="H87" s="55" t="n"/>
      <c r="I87" s="55" t="n"/>
      <c r="J87" s="55" t="n"/>
      <c r="K87" s="55" t="n"/>
    </row>
    <row r="88" ht="48" customHeight="1" s="32">
      <c r="A88" s="57" t="inlineStr">
        <is>
          <t>■ 新規追加業務（以下に追記してください）</t>
        </is>
      </c>
      <c r="B88" s="52" t="n"/>
      <c r="C88" s="52" t="n"/>
      <c r="D88" s="52" t="n"/>
      <c r="E88" s="53" t="n"/>
      <c r="F88" s="52" t="n"/>
      <c r="G88" s="52" t="n"/>
      <c r="H88" s="53" t="n"/>
      <c r="I88" s="53" t="n"/>
      <c r="J88" s="53" t="n"/>
      <c r="K88" s="53" t="n"/>
    </row>
    <row r="89" ht="16" customHeight="1" s="32">
      <c r="A89" s="58" t="inlineStr">
        <is>
          <t>追1</t>
        </is>
      </c>
      <c r="B89" s="59" t="n"/>
      <c r="C89" s="59" t="n"/>
      <c r="D89" s="59" t="n"/>
      <c r="E89" s="60" t="inlineStr">
        <is>
          <t>追加</t>
        </is>
      </c>
      <c r="F89" s="59" t="n"/>
      <c r="G89" s="59" t="n"/>
      <c r="H89" s="61" t="n"/>
      <c r="I89" s="61" t="n"/>
      <c r="J89" s="61" t="n"/>
      <c r="K89" s="61" t="n"/>
    </row>
    <row r="90" ht="16" customHeight="1" s="32">
      <c r="A90" s="58" t="inlineStr">
        <is>
          <t>追2</t>
        </is>
      </c>
      <c r="B90" s="59" t="n"/>
      <c r="C90" s="59" t="n"/>
      <c r="D90" s="59" t="n"/>
      <c r="E90" s="60" t="inlineStr">
        <is>
          <t>追加</t>
        </is>
      </c>
      <c r="F90" s="59" t="n"/>
      <c r="G90" s="59" t="n"/>
      <c r="H90" s="61" t="n"/>
      <c r="I90" s="61" t="n"/>
      <c r="J90" s="61" t="n"/>
      <c r="K90" s="61" t="n"/>
    </row>
    <row r="91" ht="16" customHeight="1" s="32">
      <c r="A91" s="58" t="inlineStr">
        <is>
          <t>追3</t>
        </is>
      </c>
      <c r="B91" s="59" t="n"/>
      <c r="C91" s="59" t="n"/>
      <c r="D91" s="59" t="n"/>
      <c r="E91" s="60" t="inlineStr">
        <is>
          <t>追加</t>
        </is>
      </c>
      <c r="F91" s="59" t="n"/>
      <c r="G91" s="59" t="n"/>
      <c r="H91" s="61" t="n"/>
      <c r="I91" s="61" t="n"/>
      <c r="J91" s="61" t="n"/>
      <c r="K91" s="61" t="n"/>
    </row>
    <row r="92" ht="16" customHeight="1" s="32">
      <c r="A92" s="58" t="inlineStr">
        <is>
          <t>追4</t>
        </is>
      </c>
      <c r="B92" s="59" t="n"/>
      <c r="C92" s="59" t="n"/>
      <c r="D92" s="59" t="n"/>
      <c r="E92" s="60" t="inlineStr">
        <is>
          <t>追加</t>
        </is>
      </c>
      <c r="F92" s="59" t="n"/>
      <c r="G92" s="59" t="n"/>
      <c r="H92" s="61" t="n"/>
      <c r="I92" s="61" t="n"/>
      <c r="J92" s="61" t="n"/>
      <c r="K92" s="61" t="n"/>
    </row>
    <row r="93" ht="16" customHeight="1" s="32">
      <c r="A93" s="58" t="inlineStr">
        <is>
          <t>追5</t>
        </is>
      </c>
      <c r="B93" s="59" t="n"/>
      <c r="C93" s="59" t="n"/>
      <c r="D93" s="59" t="n"/>
      <c r="E93" s="60" t="inlineStr">
        <is>
          <t>追加</t>
        </is>
      </c>
      <c r="F93" s="59" t="n"/>
      <c r="G93" s="59" t="n"/>
      <c r="H93" s="61" t="n"/>
      <c r="I93" s="61" t="n"/>
      <c r="J93" s="61" t="n"/>
      <c r="K93" s="61" t="n"/>
    </row>
    <row r="94" ht="16" customHeight="1" s="32">
      <c r="A94" s="58" t="inlineStr">
        <is>
          <t>追6</t>
        </is>
      </c>
      <c r="B94" s="59" t="n"/>
      <c r="C94" s="59" t="n"/>
      <c r="D94" s="59" t="n"/>
      <c r="E94" s="60" t="inlineStr">
        <is>
          <t>追加</t>
        </is>
      </c>
      <c r="F94" s="59" t="n"/>
      <c r="G94" s="59" t="n"/>
      <c r="H94" s="61" t="n"/>
      <c r="I94" s="61" t="n"/>
      <c r="J94" s="61" t="n"/>
      <c r="K94" s="61" t="n"/>
    </row>
    <row r="95" ht="16" customHeight="1" s="32">
      <c r="A95" s="58" t="inlineStr">
        <is>
          <t>追7</t>
        </is>
      </c>
      <c r="B95" s="59" t="n"/>
      <c r="C95" s="59" t="n"/>
      <c r="D95" s="59" t="n"/>
      <c r="E95" s="60" t="inlineStr">
        <is>
          <t>追加</t>
        </is>
      </c>
      <c r="F95" s="59" t="n"/>
      <c r="G95" s="59" t="n"/>
      <c r="H95" s="61" t="n"/>
      <c r="I95" s="61" t="n"/>
      <c r="J95" s="61" t="n"/>
      <c r="K95" s="61" t="n"/>
    </row>
    <row r="96" ht="16" customHeight="1" s="32">
      <c r="A96" s="58" t="inlineStr">
        <is>
          <t>追8</t>
        </is>
      </c>
      <c r="B96" s="59" t="n"/>
      <c r="C96" s="59" t="n"/>
      <c r="D96" s="59" t="n"/>
      <c r="E96" s="60" t="inlineStr">
        <is>
          <t>追加</t>
        </is>
      </c>
      <c r="F96" s="59" t="n"/>
      <c r="G96" s="59" t="n"/>
      <c r="H96" s="61" t="n"/>
      <c r="I96" s="61" t="n"/>
      <c r="J96" s="61" t="n"/>
      <c r="K96" s="61" t="n"/>
    </row>
    <row r="97" ht="16" customHeight="1" s="32">
      <c r="A97" s="58" t="inlineStr">
        <is>
          <t>追9</t>
        </is>
      </c>
      <c r="B97" s="59" t="n"/>
      <c r="C97" s="59" t="n"/>
      <c r="D97" s="59" t="n"/>
      <c r="E97" s="60" t="inlineStr">
        <is>
          <t>追加</t>
        </is>
      </c>
      <c r="F97" s="59" t="n"/>
      <c r="G97" s="59" t="n"/>
      <c r="H97" s="61" t="n"/>
      <c r="I97" s="61" t="n"/>
      <c r="J97" s="61" t="n"/>
      <c r="K97" s="61" t="n"/>
    </row>
    <row r="98" ht="16" customHeight="1" s="32">
      <c r="A98" s="58" t="inlineStr">
        <is>
          <t>追10</t>
        </is>
      </c>
      <c r="B98" s="59" t="n"/>
      <c r="C98" s="59" t="n"/>
      <c r="D98" s="59" t="n"/>
      <c r="E98" s="60" t="inlineStr">
        <is>
          <t>追加</t>
        </is>
      </c>
      <c r="F98" s="59" t="n"/>
      <c r="G98" s="59" t="n"/>
      <c r="H98" s="61" t="n"/>
      <c r="I98" s="61" t="n"/>
      <c r="J98" s="61" t="n"/>
      <c r="K98" s="61" t="n"/>
    </row>
    <row r="99" ht="16" customHeight="1" s="32">
      <c r="A99" s="55" t="n"/>
      <c r="B99" s="56" t="n"/>
      <c r="C99" s="56" t="n"/>
      <c r="D99" s="56" t="n"/>
      <c r="E99" s="55" t="n"/>
      <c r="F99" s="56" t="n"/>
      <c r="G99" s="56" t="n"/>
      <c r="H99" s="55" t="n"/>
      <c r="I99" s="55" t="n"/>
      <c r="J99" s="55" t="n"/>
      <c r="K99" s="55" t="n"/>
    </row>
    <row r="100" ht="16" customHeight="1" s="32">
      <c r="A100" s="55" t="n"/>
      <c r="B100" s="56" t="n"/>
      <c r="C100" s="56" t="n"/>
      <c r="D100" s="56" t="n"/>
      <c r="E100" s="55" t="n"/>
      <c r="F100" s="56" t="n"/>
      <c r="G100" s="56" t="n"/>
      <c r="H100" s="55" t="n"/>
      <c r="I100" s="55" t="n"/>
      <c r="J100" s="55" t="n"/>
      <c r="K100" s="55" t="n"/>
    </row>
    <row r="101" ht="16" customHeight="1" s="32">
      <c r="A101" s="62" t="inlineStr">
        <is>
          <t>【集計】</t>
        </is>
      </c>
      <c r="B101" s="56" t="n"/>
      <c r="C101" s="56" t="n"/>
      <c r="D101" s="56" t="n"/>
      <c r="E101" s="55" t="n"/>
      <c r="F101" s="56" t="n"/>
      <c r="G101" s="56" t="n"/>
      <c r="H101" s="55" t="n"/>
      <c r="I101" s="55" t="n"/>
      <c r="J101" s="55" t="n"/>
      <c r="K101" s="55" t="n"/>
    </row>
    <row r="102" ht="32" customHeight="1" s="32">
      <c r="A102" s="63" t="inlineStr">
        <is>
          <t>OK件数</t>
        </is>
      </c>
      <c r="B102" s="64">
        <f>COUNTIF(E6:E500,"OK")</f>
        <v/>
      </c>
      <c r="C102" s="56" t="n"/>
      <c r="D102" s="56" t="n"/>
      <c r="E102" s="55" t="n"/>
      <c r="F102" s="56" t="n"/>
      <c r="G102" s="56" t="n"/>
      <c r="H102" s="55" t="n"/>
      <c r="I102" s="55" t="n"/>
      <c r="J102" s="55" t="n"/>
      <c r="K102" s="55" t="n"/>
    </row>
    <row r="103" ht="32" customHeight="1" s="32">
      <c r="A103" s="63" t="inlineStr">
        <is>
          <t>NG件数</t>
        </is>
      </c>
      <c r="B103" s="64">
        <f>COUNTIF(E6:E500,"NG")</f>
        <v/>
      </c>
      <c r="C103" s="56" t="n"/>
      <c r="D103" s="56" t="n"/>
      <c r="E103" s="55" t="n"/>
      <c r="F103" s="56" t="n"/>
      <c r="G103" s="56" t="n"/>
      <c r="H103" s="55" t="n"/>
      <c r="I103" s="55" t="n"/>
      <c r="J103" s="55" t="n"/>
      <c r="K103" s="55" t="n"/>
    </row>
    <row r="104" ht="32" customHeight="1" s="32">
      <c r="A104" s="62" t="inlineStr">
        <is>
          <t>追加件数</t>
        </is>
      </c>
      <c r="B104" s="64">
        <f>COUNTIF(E6:E500,"追加")</f>
        <v/>
      </c>
      <c r="C104" s="56" t="n"/>
      <c r="D104" s="56" t="n"/>
      <c r="E104" s="55" t="n"/>
      <c r="F104" s="56" t="n"/>
      <c r="G104" s="56" t="n"/>
      <c r="H104" s="55" t="n"/>
      <c r="I104" s="55" t="n"/>
      <c r="J104" s="55" t="n"/>
      <c r="K104" s="55" t="n"/>
    </row>
    <row r="105" ht="32" customHeight="1" s="32">
      <c r="A105" s="62" t="inlineStr">
        <is>
          <t>削除件数</t>
        </is>
      </c>
      <c r="B105" s="64">
        <f>COUNTIF(E6:E500,"削除")</f>
        <v/>
      </c>
      <c r="C105" s="56" t="n"/>
      <c r="D105" s="56" t="n"/>
      <c r="E105" s="55" t="n"/>
      <c r="F105" s="56" t="n"/>
      <c r="G105" s="56" t="n"/>
      <c r="H105" s="55" t="n"/>
      <c r="I105" s="55" t="n"/>
      <c r="J105" s="55" t="n"/>
      <c r="K105" s="55" t="n"/>
    </row>
  </sheetData>
  <autoFilter ref="A5:K100"/>
  <mergeCells count="7">
    <mergeCell ref="A6:K6"/>
    <mergeCell ref="A88:K88"/>
    <mergeCell ref="A101:E101"/>
    <mergeCell ref="A3:K3"/>
    <mergeCell ref="A2:K2"/>
    <mergeCell ref="A13:K13"/>
    <mergeCell ref="A1:K1"/>
  </mergeCells>
  <dataValidations count="2">
    <dataValidation sqref="E7:E12 E14:E86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2 H14:H86 H89:H98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安全管理部</t>
        </is>
      </c>
    </row>
    <row r="2" ht="11.9" customHeight="1" s="32">
      <c r="A2" s="34" t="inlineStr">
        <is>
          <t>対象業務項目数: 79件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業務チェック確認!B102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業務チェック確認!B103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業務チェック確認!B104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業務チェック確認!B105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業務チェック確認!B106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2026-05-16T01:30:13Z</dcterms:modified>
  <cp:revision>0</cp:revision>
</cp:coreProperties>
</file>