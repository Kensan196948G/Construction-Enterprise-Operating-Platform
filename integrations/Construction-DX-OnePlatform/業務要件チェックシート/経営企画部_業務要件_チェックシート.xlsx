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'業務内容一覧'!$A$4:$G$130</definedName>
    <definedName name="_xlnm._FilterDatabase" localSheetId="1" hidden="1">'業務チェック確認'!$A$5:$K$145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1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経営企画部</t>
        </is>
      </c>
    </row>
    <row r="2" ht="22" customHeight="1" s="32">
      <c r="A2" s="34" t="inlineStr">
        <is>
          <t>文書: 経営企画部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部門概要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部門概要</t>
        </is>
      </c>
      <c r="C6" s="40" t="inlineStr">
        <is>
          <t>部門ミッション</t>
        </is>
      </c>
      <c r="D6" s="41" t="n"/>
      <c r="E6" s="40" t="inlineStr">
        <is>
          <t>中長期経営計画の策定と進捗管理</t>
        </is>
      </c>
      <c r="F6" s="42" t="n"/>
      <c r="G6" s="41" t="n"/>
    </row>
    <row r="7" ht="16" customHeight="1" s="32">
      <c r="A7" s="39" t="n">
        <v>2</v>
      </c>
      <c r="B7" s="40" t="inlineStr">
        <is>
          <t>部門概要</t>
        </is>
      </c>
      <c r="C7" s="40" t="inlineStr">
        <is>
          <t>部門ミッション</t>
        </is>
      </c>
      <c r="D7" s="41" t="n"/>
      <c r="E7" s="40" t="inlineStr">
        <is>
          <t>全社KPIの設計・モニタリング・改善提案</t>
        </is>
      </c>
      <c r="F7" s="42" t="n"/>
      <c r="G7" s="41" t="n"/>
    </row>
    <row r="8" ht="16" customHeight="1" s="32">
      <c r="A8" s="39" t="n">
        <v>3</v>
      </c>
      <c r="B8" s="40" t="inlineStr">
        <is>
          <t>部門概要</t>
        </is>
      </c>
      <c r="C8" s="40" t="inlineStr">
        <is>
          <t>部門ミッション</t>
        </is>
      </c>
      <c r="D8" s="41" t="n"/>
      <c r="E8" s="40" t="inlineStr">
        <is>
          <t>経営判断に必要な情報の収集・分析・報告</t>
        </is>
      </c>
      <c r="F8" s="42" t="n"/>
      <c r="G8" s="41" t="n"/>
    </row>
    <row r="9" ht="16" customHeight="1" s="32">
      <c r="A9" s="39" t="n">
        <v>4</v>
      </c>
      <c r="B9" s="40" t="inlineStr">
        <is>
          <t>部門概要</t>
        </is>
      </c>
      <c r="C9" s="40" t="inlineStr">
        <is>
          <t>部門ミッション</t>
        </is>
      </c>
      <c r="D9" s="41" t="n"/>
      <c r="E9" s="43" t="inlineStr">
        <is>
          <t>ESG/SDGs経営の推進</t>
        </is>
      </c>
      <c r="F9" s="42" t="n"/>
      <c r="G9" s="41" t="n"/>
    </row>
    <row r="10" ht="16" customHeight="1" s="32">
      <c r="A10" s="39" t="n">
        <v>5</v>
      </c>
      <c r="B10" s="40" t="inlineStr">
        <is>
          <t>部門概要</t>
        </is>
      </c>
      <c r="C10" s="40" t="inlineStr">
        <is>
          <t>部門ミッション</t>
        </is>
      </c>
      <c r="D10" s="41" t="n"/>
      <c r="E10" s="40" t="inlineStr">
        <is>
          <t>事業継続計画（BCP）の策定・維持</t>
        </is>
      </c>
      <c r="F10" s="42" t="n"/>
      <c r="G10" s="41" t="n"/>
    </row>
    <row r="11" ht="32" customHeight="1" s="32">
      <c r="A11" s="37" t="inlineStr">
        <is>
          <t>■ 現行業務フロー</t>
        </is>
      </c>
      <c r="B11" s="38" t="n"/>
      <c r="C11" s="38" t="n"/>
      <c r="D11" s="38" t="n"/>
      <c r="E11" s="38" t="n"/>
      <c r="F11" s="38" t="n"/>
      <c r="G11" s="38" t="n"/>
    </row>
    <row r="12" ht="16" customHeight="1" s="32">
      <c r="A12" s="39" t="n">
        <v>6</v>
      </c>
      <c r="B12" s="40" t="inlineStr">
        <is>
          <t>現行業務フロー</t>
        </is>
      </c>
      <c r="C12" s="40" t="inlineStr">
        <is>
          <t>月次経営報告業務</t>
        </is>
      </c>
      <c r="D12" s="41" t="n"/>
      <c r="E12" s="40" t="inlineStr">
        <is>
          <t>各部門からのデータ形式がバラバラ（Excel・紙・メール本文）</t>
        </is>
      </c>
      <c r="F12" s="42" t="n"/>
      <c r="G12" s="41" t="n"/>
    </row>
    <row r="13" ht="16" customHeight="1" s="32">
      <c r="A13" s="39" t="n">
        <v>7</v>
      </c>
      <c r="B13" s="40" t="inlineStr">
        <is>
          <t>現行業務フロー</t>
        </is>
      </c>
      <c r="C13" s="40" t="inlineStr">
        <is>
          <t>月次経営報告業務</t>
        </is>
      </c>
      <c r="D13" s="41" t="n"/>
      <c r="E13" s="40" t="inlineStr">
        <is>
          <t>集計に毎月3～5営業日を要している</t>
        </is>
      </c>
      <c r="F13" s="42" t="n"/>
      <c r="G13" s="41" t="n"/>
    </row>
    <row r="14" ht="16" customHeight="1" s="32">
      <c r="A14" s="39" t="n">
        <v>8</v>
      </c>
      <c r="B14" s="40" t="inlineStr">
        <is>
          <t>現行業務フロー</t>
        </is>
      </c>
      <c r="C14" s="40" t="inlineStr">
        <is>
          <t>月次経営報告業務</t>
        </is>
      </c>
      <c r="D14" s="41" t="n"/>
      <c r="E14" s="40" t="inlineStr">
        <is>
          <t>リアルタイム性が無く、経営判断が遅れる</t>
        </is>
      </c>
      <c r="F14" s="42" t="n"/>
      <c r="G14" s="41" t="n"/>
    </row>
    <row r="15" ht="16" customHeight="1" s="32">
      <c r="A15" s="39" t="n">
        <v>9</v>
      </c>
      <c r="B15" s="40" t="inlineStr">
        <is>
          <t>現行業務フロー</t>
        </is>
      </c>
      <c r="C15" s="40" t="inlineStr">
        <is>
          <t>月次経営報告業務</t>
        </is>
      </c>
      <c r="D15" s="41" t="n"/>
      <c r="E15" s="40" t="inlineStr">
        <is>
          <t>データの正確性検証に工数がかかる</t>
        </is>
      </c>
      <c r="F15" s="42" t="n"/>
      <c r="G15" s="41" t="n"/>
    </row>
    <row r="16" ht="32" customHeight="1" s="32">
      <c r="A16" s="37" t="inlineStr">
        <is>
          <t>■ 業務要件（詳細）</t>
        </is>
      </c>
      <c r="B16" s="38" t="n"/>
      <c r="C16" s="38" t="n"/>
      <c r="D16" s="38" t="n"/>
      <c r="E16" s="38" t="n"/>
      <c r="F16" s="38" t="n"/>
      <c r="G16" s="38" t="n"/>
    </row>
    <row r="17" ht="16" customHeight="1" s="32">
      <c r="A17" s="39" t="n">
        <v>10</v>
      </c>
      <c r="B17" s="40" t="inlineStr">
        <is>
          <t>業務要件（詳細）</t>
        </is>
      </c>
      <c r="C17" s="40" t="inlineStr">
        <is>
          <t>受注高分析</t>
        </is>
      </c>
      <c r="D17" s="40" t="inlineStr">
        <is>
          <t>分析要件</t>
        </is>
      </c>
      <c r="E17" s="40" t="inlineStr">
        <is>
          <t>月次・四半期・年次での受注高推移グラフ</t>
        </is>
      </c>
      <c r="F17" s="42" t="n"/>
      <c r="G17" s="41" t="n"/>
    </row>
    <row r="18" ht="16" customHeight="1" s="32">
      <c r="A18" s="39" t="n">
        <v>11</v>
      </c>
      <c r="B18" s="40" t="inlineStr">
        <is>
          <t>業務要件（詳細）</t>
        </is>
      </c>
      <c r="C18" s="40" t="inlineStr">
        <is>
          <t>受注高分析</t>
        </is>
      </c>
      <c r="D18" s="40" t="inlineStr">
        <is>
          <t>分析要件</t>
        </is>
      </c>
      <c r="E18" s="40" t="inlineStr">
        <is>
          <t>前年同期比・予算比の自動算出とアラート（達成率90%未満で警告）</t>
        </is>
      </c>
      <c r="F18" s="42" t="n"/>
      <c r="G18" s="41" t="n"/>
    </row>
    <row r="19" ht="16" customHeight="1" s="32">
      <c r="A19" s="39" t="n">
        <v>12</v>
      </c>
      <c r="B19" s="40" t="inlineStr">
        <is>
          <t>業務要件（詳細）</t>
        </is>
      </c>
      <c r="C19" s="40" t="inlineStr">
        <is>
          <t>受注高分析</t>
        </is>
      </c>
      <c r="D19" s="40" t="inlineStr">
        <is>
          <t>分析要件</t>
        </is>
      </c>
      <c r="E19" s="40" t="inlineStr">
        <is>
          <t>発注機関別ランキング（国交省・地方自治体・NEXCO・民間別）</t>
        </is>
      </c>
      <c r="F19" s="42" t="n"/>
      <c r="G19" s="41" t="n"/>
    </row>
    <row r="20" ht="16" customHeight="1" s="32">
      <c r="A20" s="39" t="n">
        <v>13</v>
      </c>
      <c r="B20" s="40" t="inlineStr">
        <is>
          <t>業務要件（詳細）</t>
        </is>
      </c>
      <c r="C20" s="40" t="inlineStr">
        <is>
          <t>受注高分析</t>
        </is>
      </c>
      <c r="D20" s="40" t="inlineStr">
        <is>
          <t>分析要件</t>
        </is>
      </c>
      <c r="E20" s="40" t="inlineStr">
        <is>
          <t>工種別受注構成比（海上工事・陸上工事・エネルギー関連等）</t>
        </is>
      </c>
      <c r="F20" s="42" t="n"/>
      <c r="G20" s="41" t="n"/>
    </row>
    <row r="21" ht="16" customHeight="1" s="32">
      <c r="A21" s="39" t="n">
        <v>14</v>
      </c>
      <c r="B21" s="40" t="inlineStr">
        <is>
          <t>業務要件（詳細）</t>
        </is>
      </c>
      <c r="C21" s="40" t="inlineStr">
        <is>
          <t>受注高分析</t>
        </is>
      </c>
      <c r="D21" s="40" t="inlineStr">
        <is>
          <t>分析要件</t>
        </is>
      </c>
      <c r="E21" s="40" t="inlineStr">
        <is>
          <t>支店別受注ランキングと地域分析</t>
        </is>
      </c>
      <c r="F21" s="42" t="n"/>
      <c r="G21" s="41" t="n"/>
    </row>
    <row r="22" ht="16" customHeight="1" s="32">
      <c r="A22" s="39" t="n">
        <v>15</v>
      </c>
      <c r="B22" s="40" t="inlineStr">
        <is>
          <t>業務要件（詳細）</t>
        </is>
      </c>
      <c r="C22" s="40" t="inlineStr">
        <is>
          <t>受注高分析</t>
        </is>
      </c>
      <c r="D22" s="40" t="inlineStr">
        <is>
          <t>分析要件</t>
        </is>
      </c>
      <c r="E22" s="40" t="inlineStr">
        <is>
          <t>公共工事比率の推移（品確法対応の観点）</t>
        </is>
      </c>
      <c r="F22" s="42" t="n"/>
      <c r="G22" s="41" t="n"/>
    </row>
    <row r="23" ht="16" customHeight="1" s="32">
      <c r="A23" s="39" t="n">
        <v>16</v>
      </c>
      <c r="B23" s="40" t="inlineStr">
        <is>
          <t>業務要件（詳細）</t>
        </is>
      </c>
      <c r="C23" s="40" t="inlineStr">
        <is>
          <t>受注高分析</t>
        </is>
      </c>
      <c r="D23" s="40" t="inlineStr">
        <is>
          <t>出力帳票</t>
        </is>
      </c>
      <c r="E23" s="40" t="inlineStr">
        <is>
          <t>月次受注速報（A4横1枚、自動生成）</t>
        </is>
      </c>
      <c r="F23" s="42" t="n"/>
      <c r="G23" s="41" t="n"/>
    </row>
    <row r="24" ht="16" customHeight="1" s="32">
      <c r="A24" s="39" t="n">
        <v>17</v>
      </c>
      <c r="B24" s="40" t="inlineStr">
        <is>
          <t>業務要件（詳細）</t>
        </is>
      </c>
      <c r="C24" s="40" t="inlineStr">
        <is>
          <t>受注高分析</t>
        </is>
      </c>
      <c r="D24" s="40" t="inlineStr">
        <is>
          <t>出力帳票</t>
        </is>
      </c>
      <c r="E24" s="40" t="inlineStr">
        <is>
          <t>四半期受注分析レポート（詳細版）</t>
        </is>
      </c>
      <c r="F24" s="42" t="n"/>
      <c r="G24" s="41" t="n"/>
    </row>
    <row r="25" ht="16" customHeight="1" s="32">
      <c r="A25" s="39" t="n">
        <v>18</v>
      </c>
      <c r="B25" s="40" t="inlineStr">
        <is>
          <t>業務要件（詳細）</t>
        </is>
      </c>
      <c r="C25" s="40" t="inlineStr">
        <is>
          <t>受注高分析</t>
        </is>
      </c>
      <c r="D25" s="40" t="inlineStr">
        <is>
          <t>出力帳票</t>
        </is>
      </c>
      <c r="E25" s="40" t="inlineStr">
        <is>
          <t>経営会議用受注サマリー（PowerPoint形式エクスポート）</t>
        </is>
      </c>
      <c r="F25" s="42" t="n"/>
      <c r="G25" s="41" t="n"/>
    </row>
    <row r="26" ht="16" customHeight="1" s="32">
      <c r="A26" s="39" t="n">
        <v>19</v>
      </c>
      <c r="B26" s="40" t="inlineStr">
        <is>
          <t>業務要件（詳細）</t>
        </is>
      </c>
      <c r="C26" s="40" t="inlineStr">
        <is>
          <t>工事利益率分析</t>
        </is>
      </c>
      <c r="D26" s="40" t="inlineStr">
        <is>
          <t>分析要件</t>
        </is>
      </c>
      <c r="E26" s="40" t="inlineStr">
        <is>
          <t>案件別利益率のリアルタイム一覧（利益率順ソート）</t>
        </is>
      </c>
      <c r="F26" s="42" t="n"/>
      <c r="G26" s="41" t="n"/>
    </row>
    <row r="27" ht="16" customHeight="1" s="32">
      <c r="A27" s="39" t="n">
        <v>20</v>
      </c>
      <c r="B27" s="40" t="inlineStr">
        <is>
          <t>業務要件（詳細）</t>
        </is>
      </c>
      <c r="C27" s="40" t="inlineStr">
        <is>
          <t>工事利益率分析</t>
        </is>
      </c>
      <c r="D27" s="40" t="inlineStr">
        <is>
          <t>分析要件</t>
        </is>
      </c>
      <c r="E27" s="40" t="inlineStr">
        <is>
          <t>赤字案件の即時アラート（予測利益率がマイナスになった時点）</t>
        </is>
      </c>
      <c r="F27" s="42" t="n"/>
      <c r="G27" s="41" t="n"/>
    </row>
    <row r="28" ht="16" customHeight="1" s="32">
      <c r="A28" s="39" t="n">
        <v>21</v>
      </c>
      <c r="B28" s="40" t="inlineStr">
        <is>
          <t>業務要件（詳細）</t>
        </is>
      </c>
      <c r="C28" s="40" t="inlineStr">
        <is>
          <t>工事利益率分析</t>
        </is>
      </c>
      <c r="D28" s="40" t="inlineStr">
        <is>
          <t>分析要件</t>
        </is>
      </c>
      <c r="E28" s="40" t="inlineStr">
        <is>
          <t>工種別・支店別の平均利益率トレンド</t>
        </is>
      </c>
      <c r="F28" s="42" t="n"/>
      <c r="G28" s="41" t="n"/>
    </row>
    <row r="29" ht="16" customHeight="1" s="32">
      <c r="A29" s="39" t="n">
        <v>22</v>
      </c>
      <c r="B29" s="40" t="inlineStr">
        <is>
          <t>業務要件（詳細）</t>
        </is>
      </c>
      <c r="C29" s="40" t="inlineStr">
        <is>
          <t>工事利益率分析</t>
        </is>
      </c>
      <c r="D29" s="40" t="inlineStr">
        <is>
          <t>分析要件</t>
        </is>
      </c>
      <c r="E29" s="40" t="inlineStr">
        <is>
          <t>利益率低下の要因分析（労務費増、材料費増、工期遅延等の寄与度）</t>
        </is>
      </c>
      <c r="F29" s="42" t="n"/>
      <c r="G29" s="41" t="n"/>
    </row>
    <row r="30" ht="16" customHeight="1" s="32">
      <c r="A30" s="39" t="n">
        <v>23</v>
      </c>
      <c r="B30" s="40" t="inlineStr">
        <is>
          <t>業務要件（詳細）</t>
        </is>
      </c>
      <c r="C30" s="40" t="inlineStr">
        <is>
          <t>工事利益率分析</t>
        </is>
      </c>
      <c r="D30" s="40" t="inlineStr">
        <is>
          <t>分析要件</t>
        </is>
      </c>
      <c r="E30" s="43" t="inlineStr">
        <is>
          <t>AI予測：過去データに基づく利益率低下の早期警告（着工後3ヶ月以内に予測）</t>
        </is>
      </c>
      <c r="F30" s="42" t="n"/>
      <c r="G30" s="41" t="n"/>
    </row>
    <row r="31" ht="16" customHeight="1" s="32">
      <c r="A31" s="39" t="n">
        <v>24</v>
      </c>
      <c r="B31" s="40" t="inlineStr">
        <is>
          <t>業務要件（詳細）</t>
        </is>
      </c>
      <c r="C31" s="40" t="inlineStr">
        <is>
          <t>原価推移分析</t>
        </is>
      </c>
      <c r="D31" s="40" t="inlineStr">
        <is>
          <t>分析要件</t>
        </is>
      </c>
      <c r="E31" s="40" t="inlineStr">
        <is>
          <t>原価4要素（労務費・材料費・外注費・経費）の構成比推移</t>
        </is>
      </c>
      <c r="F31" s="42" t="n"/>
      <c r="G31" s="41" t="n"/>
    </row>
    <row r="32" ht="16" customHeight="1" s="32">
      <c r="A32" s="39" t="n">
        <v>25</v>
      </c>
      <c r="B32" s="40" t="inlineStr">
        <is>
          <t>業務要件（詳細）</t>
        </is>
      </c>
      <c r="C32" s="40" t="inlineStr">
        <is>
          <t>原価推移分析</t>
        </is>
      </c>
      <c r="D32" s="40" t="inlineStr">
        <is>
          <t>分析要件</t>
        </is>
      </c>
      <c r="E32" s="40" t="inlineStr">
        <is>
          <t>予算vs実績の差異分析（サンバースト図/ウォーターフォール図）</t>
        </is>
      </c>
      <c r="F32" s="42" t="n"/>
      <c r="G32" s="41" t="n"/>
    </row>
    <row r="33" ht="16" customHeight="1" s="32">
      <c r="A33" s="39" t="n">
        <v>26</v>
      </c>
      <c r="B33" s="40" t="inlineStr">
        <is>
          <t>業務要件（詳細）</t>
        </is>
      </c>
      <c r="C33" s="40" t="inlineStr">
        <is>
          <t>原価推移分析</t>
        </is>
      </c>
      <c r="D33" s="40" t="inlineStr">
        <is>
          <t>分析要件</t>
        </is>
      </c>
      <c r="E33" s="40" t="inlineStr">
        <is>
          <t>工種別の原価構造比較</t>
        </is>
      </c>
      <c r="F33" s="42" t="n"/>
      <c r="G33" s="41" t="n"/>
    </row>
    <row r="34" ht="16" customHeight="1" s="32">
      <c r="A34" s="39" t="n">
        <v>27</v>
      </c>
      <c r="B34" s="40" t="inlineStr">
        <is>
          <t>業務要件（詳細）</t>
        </is>
      </c>
      <c r="C34" s="40" t="inlineStr">
        <is>
          <t>原価推移分析</t>
        </is>
      </c>
      <c r="D34" s="40" t="inlineStr">
        <is>
          <t>分析要件</t>
        </is>
      </c>
      <c r="E34" s="40" t="inlineStr">
        <is>
          <t>協力会社別の外注単価トレンド</t>
        </is>
      </c>
      <c r="F34" s="42" t="n"/>
      <c r="G34" s="41" t="n"/>
    </row>
    <row r="35" ht="16" customHeight="1" s="32">
      <c r="A35" s="39" t="n">
        <v>28</v>
      </c>
      <c r="B35" s="40" t="inlineStr">
        <is>
          <t>業務要件（詳細）</t>
        </is>
      </c>
      <c r="C35" s="40" t="inlineStr">
        <is>
          <t>原価推移分析</t>
        </is>
      </c>
      <c r="D35" s="40" t="inlineStr">
        <is>
          <t>分析要件</t>
        </is>
      </c>
      <c r="E35" s="40" t="inlineStr">
        <is>
          <t>資材価格の市場動向との比較</t>
        </is>
      </c>
      <c r="F35" s="42" t="n"/>
      <c r="G35" s="41" t="n"/>
    </row>
    <row r="36" ht="16" customHeight="1" s="32">
      <c r="A36" s="39" t="n">
        <v>29</v>
      </c>
      <c r="B36" s="40" t="inlineStr">
        <is>
          <t>業務要件（詳細）</t>
        </is>
      </c>
      <c r="C36" s="40" t="inlineStr">
        <is>
          <t>工事進捗管理</t>
        </is>
      </c>
      <c r="D36" s="40" t="inlineStr">
        <is>
          <t>分析要件</t>
        </is>
      </c>
      <c r="E36" s="40" t="inlineStr">
        <is>
          <t>全社工事一覧（ステータス別：施工中・完成・待機）</t>
        </is>
      </c>
      <c r="F36" s="42" t="n"/>
      <c r="G36" s="41" t="n"/>
    </row>
    <row r="37" ht="16" customHeight="1" s="32">
      <c r="A37" s="39" t="n">
        <v>30</v>
      </c>
      <c r="B37" s="40" t="inlineStr">
        <is>
          <t>業務要件（詳細）</t>
        </is>
      </c>
      <c r="C37" s="40" t="inlineStr">
        <is>
          <t>工事進捗管理</t>
        </is>
      </c>
      <c r="D37" s="40" t="inlineStr">
        <is>
          <t>分析要件</t>
        </is>
      </c>
      <c r="E37" s="40" t="inlineStr">
        <is>
          <t>工程消化率vs出来高進捗率の散布図（遅延検知）</t>
        </is>
      </c>
      <c r="F37" s="42" t="n"/>
      <c r="G37" s="41" t="n"/>
    </row>
    <row r="38" ht="16" customHeight="1" s="32">
      <c r="A38" s="39" t="n">
        <v>31</v>
      </c>
      <c r="B38" s="40" t="inlineStr">
        <is>
          <t>業務要件（詳細）</t>
        </is>
      </c>
      <c r="C38" s="40" t="inlineStr">
        <is>
          <t>工事進捗管理</t>
        </is>
      </c>
      <c r="D38" s="40" t="inlineStr">
        <is>
          <t>分析要件</t>
        </is>
      </c>
      <c r="E38" s="40" t="inlineStr">
        <is>
          <t>遅延案件のハイライト表示（計画比7日以上遅延で赤表示）</t>
        </is>
      </c>
      <c r="F38" s="42" t="n"/>
      <c r="G38" s="41" t="n"/>
    </row>
    <row r="39" ht="16" customHeight="1" s="32">
      <c r="A39" s="39" t="n">
        <v>32</v>
      </c>
      <c r="B39" s="40" t="inlineStr">
        <is>
          <t>業務要件（詳細）</t>
        </is>
      </c>
      <c r="C39" s="40" t="inlineStr">
        <is>
          <t>工事進捗管理</t>
        </is>
      </c>
      <c r="D39" s="40" t="inlineStr">
        <is>
          <t>分析要件</t>
        </is>
      </c>
      <c r="E39" s="40" t="inlineStr">
        <is>
          <t>月次完成予定工事一覧</t>
        </is>
      </c>
      <c r="F39" s="42" t="n"/>
      <c r="G39" s="41" t="n"/>
    </row>
    <row r="40" ht="16" customHeight="1" s="32">
      <c r="A40" s="39" t="n">
        <v>33</v>
      </c>
      <c r="B40" s="40" t="inlineStr">
        <is>
          <t>業務要件（詳細）</t>
        </is>
      </c>
      <c r="C40" s="40" t="inlineStr">
        <is>
          <t>工事進捗管理</t>
        </is>
      </c>
      <c r="D40" s="40" t="inlineStr">
        <is>
          <t>分析要件</t>
        </is>
      </c>
      <c r="E40" s="43" t="inlineStr">
        <is>
          <t>AI工期遅延予測（天候・労務・資材納期からの確率予測）</t>
        </is>
      </c>
      <c r="F40" s="42" t="n"/>
      <c r="G40" s="41" t="n"/>
    </row>
    <row r="41" ht="16" customHeight="1" s="32">
      <c r="A41" s="39" t="n">
        <v>34</v>
      </c>
      <c r="B41" s="40" t="inlineStr">
        <is>
          <t>業務要件（詳細）</t>
        </is>
      </c>
      <c r="C41" s="40" t="inlineStr">
        <is>
          <t>労務状況管理</t>
        </is>
      </c>
      <c r="D41" s="40" t="inlineStr">
        <is>
          <t>管理要件</t>
        </is>
      </c>
      <c r="E41" s="40" t="inlineStr">
        <is>
          <t>技術者配置状況（プロジェクト×技術者マトリクス）</t>
        </is>
      </c>
      <c r="F41" s="42" t="n"/>
      <c r="G41" s="41" t="n"/>
    </row>
    <row r="42" ht="16" customHeight="1" s="32">
      <c r="A42" s="39" t="n">
        <v>35</v>
      </c>
      <c r="B42" s="40" t="inlineStr">
        <is>
          <t>業務要件（詳細）</t>
        </is>
      </c>
      <c r="C42" s="40" t="inlineStr">
        <is>
          <t>労務状況管理</t>
        </is>
      </c>
      <c r="D42" s="40" t="inlineStr">
        <is>
          <t>管理要件</t>
        </is>
      </c>
      <c r="E42" s="40" t="inlineStr">
        <is>
          <t>有資格者配置率（監理技術者・主任技術者の充足状況）</t>
        </is>
      </c>
      <c r="F42" s="42" t="n"/>
      <c r="G42" s="41" t="n"/>
    </row>
    <row r="43" ht="16" customHeight="1" s="32">
      <c r="A43" s="39" t="n">
        <v>36</v>
      </c>
      <c r="B43" s="40" t="inlineStr">
        <is>
          <t>業務要件（詳細）</t>
        </is>
      </c>
      <c r="C43" s="40" t="inlineStr">
        <is>
          <t>労務状況管理</t>
        </is>
      </c>
      <c r="D43" s="40" t="inlineStr">
        <is>
          <t>管理要件</t>
        </is>
      </c>
      <c r="E43" s="40" t="inlineStr">
        <is>
          <t>月平均残業時間の部門別推移（36協定遵守確認）</t>
        </is>
      </c>
      <c r="F43" s="42" t="n"/>
      <c r="G43" s="41" t="n"/>
    </row>
    <row r="44" ht="16" customHeight="1" s="32">
      <c r="A44" s="39" t="n">
        <v>37</v>
      </c>
      <c r="B44" s="40" t="inlineStr">
        <is>
          <t>業務要件（詳細）</t>
        </is>
      </c>
      <c r="C44" s="40" t="inlineStr">
        <is>
          <t>労務状況管理</t>
        </is>
      </c>
      <c r="D44" s="40" t="inlineStr">
        <is>
          <t>管理要件</t>
        </is>
      </c>
      <c r="E44" s="40" t="inlineStr">
        <is>
          <t>有給休暇取得率</t>
        </is>
      </c>
      <c r="F44" s="42" t="n"/>
      <c r="G44" s="41" t="n"/>
    </row>
    <row r="45" ht="16" customHeight="1" s="32">
      <c r="A45" s="39" t="n">
        <v>38</v>
      </c>
      <c r="B45" s="40" t="inlineStr">
        <is>
          <t>業務要件（詳細）</t>
        </is>
      </c>
      <c r="C45" s="40" t="inlineStr">
        <is>
          <t>労務状況管理</t>
        </is>
      </c>
      <c r="D45" s="40" t="inlineStr">
        <is>
          <t>管理要件</t>
        </is>
      </c>
      <c r="E45" s="40" t="inlineStr">
        <is>
          <t>建設キャリアアップシステム（CCUS）連携による就業実績把握</t>
        </is>
      </c>
      <c r="F45" s="42" t="n"/>
      <c r="G45" s="41" t="n"/>
    </row>
    <row r="46" ht="16" customHeight="1" s="32">
      <c r="A46" s="39" t="n">
        <v>39</v>
      </c>
      <c r="B46" s="40" t="inlineStr">
        <is>
          <t>業務要件（詳細）</t>
        </is>
      </c>
      <c r="C46" s="43" t="inlineStr">
        <is>
          <t>AI予測分析</t>
        </is>
      </c>
      <c r="D46" s="40" t="inlineStr">
        <is>
          <t>利益率低下予測</t>
        </is>
      </c>
      <c r="E46" s="40" t="inlineStr">
        <is>
          <t>入力データ: 工種、契約金額、工期、発注者、天候実績、原価進捗率、労務投入量</t>
        </is>
      </c>
      <c r="F46" s="42" t="n"/>
      <c r="G46" s="44" t="n"/>
    </row>
    <row r="47" ht="16" customHeight="1" s="32">
      <c r="A47" s="39" t="n">
        <v>40</v>
      </c>
      <c r="B47" s="40" t="inlineStr">
        <is>
          <t>業務要件（詳細）</t>
        </is>
      </c>
      <c r="C47" s="43" t="inlineStr">
        <is>
          <t>AI予測分析</t>
        </is>
      </c>
      <c r="D47" s="40" t="inlineStr">
        <is>
          <t>利益率低下予測</t>
        </is>
      </c>
      <c r="E47" s="40" t="inlineStr">
        <is>
          <t>出力: リスクスコア（0～100）＋リスク要因TOP3</t>
        </is>
      </c>
      <c r="F47" s="42" t="n"/>
      <c r="G47" s="44" t="n"/>
    </row>
    <row r="48" ht="16" customHeight="1" s="32">
      <c r="A48" s="39" t="n">
        <v>41</v>
      </c>
      <c r="B48" s="40" t="inlineStr">
        <is>
          <t>業務要件（詳細）</t>
        </is>
      </c>
      <c r="C48" s="43" t="inlineStr">
        <is>
          <t>AI予測分析</t>
        </is>
      </c>
      <c r="D48" s="40" t="inlineStr">
        <is>
          <t>利益率低下予測</t>
        </is>
      </c>
      <c r="E48" s="40" t="inlineStr">
        <is>
          <t>アラート閾値: スコア70以上で自動通知</t>
        </is>
      </c>
      <c r="F48" s="42" t="n"/>
      <c r="G48" s="44" t="n"/>
    </row>
    <row r="49" ht="16" customHeight="1" s="32">
      <c r="A49" s="39" t="n">
        <v>42</v>
      </c>
      <c r="B49" s="40" t="inlineStr">
        <is>
          <t>業務要件（詳細）</t>
        </is>
      </c>
      <c r="C49" s="43" t="inlineStr">
        <is>
          <t>AI予測分析</t>
        </is>
      </c>
      <c r="D49" s="40" t="inlineStr">
        <is>
          <t>利益率低下予測</t>
        </is>
      </c>
      <c r="E49" s="40" t="inlineStr">
        <is>
          <t>精度目標: 過去データ検証でAUC 0.80以上</t>
        </is>
      </c>
      <c r="F49" s="42" t="n"/>
      <c r="G49" s="44" t="n"/>
    </row>
    <row r="50" ht="16" customHeight="1" s="32">
      <c r="A50" s="39" t="n">
        <v>43</v>
      </c>
      <c r="B50" s="40" t="inlineStr">
        <is>
          <t>業務要件（詳細）</t>
        </is>
      </c>
      <c r="C50" s="43" t="inlineStr">
        <is>
          <t>AI予測分析</t>
        </is>
      </c>
      <c r="D50" s="40" t="inlineStr">
        <is>
          <t>赤字案件予測</t>
        </is>
      </c>
      <c r="E50" s="40" t="inlineStr">
        <is>
          <t>タイミング: 着工後3ヶ月時点で初回予測、以降月次更新</t>
        </is>
      </c>
      <c r="F50" s="42" t="n"/>
      <c r="G50" s="44" t="n"/>
    </row>
    <row r="51" ht="16" customHeight="1" s="32">
      <c r="A51" s="39" t="n">
        <v>44</v>
      </c>
      <c r="B51" s="40" t="inlineStr">
        <is>
          <t>業務要件（詳細）</t>
        </is>
      </c>
      <c r="C51" s="43" t="inlineStr">
        <is>
          <t>AI予測分析</t>
        </is>
      </c>
      <c r="D51" s="40" t="inlineStr">
        <is>
          <t>赤字案件予測</t>
        </is>
      </c>
      <c r="E51" s="40" t="inlineStr">
        <is>
          <t>判定基準: 予測最終利益率がマイナスになる確率が50%以上</t>
        </is>
      </c>
      <c r="F51" s="42" t="n"/>
      <c r="G51" s="44" t="n"/>
    </row>
    <row r="52" ht="16" customHeight="1" s="32">
      <c r="A52" s="39" t="n">
        <v>45</v>
      </c>
      <c r="B52" s="40" t="inlineStr">
        <is>
          <t>業務要件（詳細）</t>
        </is>
      </c>
      <c r="C52" s="43" t="inlineStr">
        <is>
          <t>AI予測分析</t>
        </is>
      </c>
      <c r="D52" s="40" t="inlineStr">
        <is>
          <t>工期遅延予測</t>
        </is>
      </c>
      <c r="E52" s="40" t="inlineStr">
        <is>
          <t>入力データ: 工程消化率、天候予報、労務投入計画、資材納入状況</t>
        </is>
      </c>
      <c r="F52" s="42" t="n"/>
      <c r="G52" s="44" t="n"/>
    </row>
    <row r="53" ht="16" customHeight="1" s="32">
      <c r="A53" s="39" t="n">
        <v>46</v>
      </c>
      <c r="B53" s="40" t="inlineStr">
        <is>
          <t>業務要件（詳細）</t>
        </is>
      </c>
      <c r="C53" s="43" t="inlineStr">
        <is>
          <t>AI予測分析</t>
        </is>
      </c>
      <c r="D53" s="40" t="inlineStr">
        <is>
          <t>工期遅延予測</t>
        </is>
      </c>
      <c r="E53" s="40" t="inlineStr">
        <is>
          <t>出力: 遅延確率（%）＋予測遅延日数</t>
        </is>
      </c>
      <c r="F53" s="42" t="n"/>
      <c r="G53" s="44" t="n"/>
    </row>
    <row r="54" ht="16" customHeight="1" s="32">
      <c r="A54" s="39" t="n">
        <v>47</v>
      </c>
      <c r="B54" s="40" t="inlineStr">
        <is>
          <t>業務要件（詳細）</t>
        </is>
      </c>
      <c r="C54" s="43" t="inlineStr">
        <is>
          <t>AI予測分析</t>
        </is>
      </c>
      <c r="D54" s="40" t="inlineStr">
        <is>
          <t>人材不足予測</t>
        </is>
      </c>
      <c r="E54" s="40" t="inlineStr">
        <is>
          <t>入力データ: 受注予測、退職予測、資格取得計画、年齢構成</t>
        </is>
      </c>
      <c r="F54" s="42" t="n"/>
      <c r="G54" s="44" t="n"/>
    </row>
    <row r="55" ht="16" customHeight="1" s="32">
      <c r="A55" s="39" t="n">
        <v>48</v>
      </c>
      <c r="B55" s="40" t="inlineStr">
        <is>
          <t>業務要件（詳細）</t>
        </is>
      </c>
      <c r="C55" s="43" t="inlineStr">
        <is>
          <t>AI予測分析</t>
        </is>
      </c>
      <c r="D55" s="40" t="inlineStr">
        <is>
          <t>人材不足予測</t>
        </is>
      </c>
      <c r="E55" s="40" t="inlineStr">
        <is>
          <t>出力: 6ヶ月先・1年先の技術者需給ギャップ</t>
        </is>
      </c>
      <c r="F55" s="42" t="n"/>
      <c r="G55" s="44" t="n"/>
    </row>
    <row r="56" ht="16" customHeight="1" s="32">
      <c r="A56" s="39" t="n">
        <v>49</v>
      </c>
      <c r="B56" s="40" t="inlineStr">
        <is>
          <t>業務要件（詳細）</t>
        </is>
      </c>
      <c r="C56" s="43" t="inlineStr">
        <is>
          <t>BCP（事業継続計画）管理</t>
        </is>
      </c>
      <c r="D56" s="40" t="inlineStr">
        <is>
          <t>管理要件</t>
        </is>
      </c>
      <c r="E56" s="43" t="inlineStr">
        <is>
          <t>BCP発動基準の設定と発動判断ダッシュボード</t>
        </is>
      </c>
      <c r="F56" s="42" t="n"/>
      <c r="G56" s="44" t="n"/>
    </row>
    <row r="57" ht="16" customHeight="1" s="32">
      <c r="A57" s="39" t="n">
        <v>50</v>
      </c>
      <c r="B57" s="40" t="inlineStr">
        <is>
          <t>業務要件（詳細）</t>
        </is>
      </c>
      <c r="C57" s="43" t="inlineStr">
        <is>
          <t>BCP（事業継続計画）管理</t>
        </is>
      </c>
      <c r="D57" s="40" t="inlineStr">
        <is>
          <t>管理要件</t>
        </is>
      </c>
      <c r="E57" s="40" t="inlineStr">
        <is>
          <t>緊急連絡網の管理・テスト実施記録</t>
        </is>
      </c>
      <c r="F57" s="42" t="n"/>
      <c r="G57" s="44" t="n"/>
    </row>
    <row r="58" ht="16" customHeight="1" s="32">
      <c r="A58" s="39" t="n">
        <v>51</v>
      </c>
      <c r="B58" s="40" t="inlineStr">
        <is>
          <t>業務要件（詳細）</t>
        </is>
      </c>
      <c r="C58" s="43" t="inlineStr">
        <is>
          <t>BCP（事業継続計画）管理</t>
        </is>
      </c>
      <c r="D58" s="40" t="inlineStr">
        <is>
          <t>管理要件</t>
        </is>
      </c>
      <c r="E58" s="40" t="inlineStr">
        <is>
          <t>災害時の施工現場安全確認ステータス</t>
        </is>
      </c>
      <c r="F58" s="42" t="n"/>
      <c r="G58" s="44" t="n"/>
    </row>
    <row r="59" ht="16" customHeight="1" s="32">
      <c r="A59" s="39" t="n">
        <v>52</v>
      </c>
      <c r="B59" s="40" t="inlineStr">
        <is>
          <t>業務要件（詳細）</t>
        </is>
      </c>
      <c r="C59" s="43" t="inlineStr">
        <is>
          <t>BCP（事業継続計画）管理</t>
        </is>
      </c>
      <c r="D59" s="40" t="inlineStr">
        <is>
          <t>管理要件</t>
        </is>
      </c>
      <c r="E59" s="40" t="inlineStr">
        <is>
          <t>重要設備・データのバックアップ状態確認</t>
        </is>
      </c>
      <c r="F59" s="42" t="n"/>
      <c r="G59" s="44" t="n"/>
    </row>
    <row r="60" ht="16" customHeight="1" s="32">
      <c r="A60" s="39" t="n">
        <v>53</v>
      </c>
      <c r="B60" s="40" t="inlineStr">
        <is>
          <t>業務要件（詳細）</t>
        </is>
      </c>
      <c r="C60" s="43" t="inlineStr">
        <is>
          <t>BCP（事業継続計画）管理</t>
        </is>
      </c>
      <c r="D60" s="40" t="inlineStr">
        <is>
          <t>管理要件</t>
        </is>
      </c>
      <c r="E60" s="40" t="inlineStr">
        <is>
          <t>訓練実施記録・改善計画管理</t>
        </is>
      </c>
      <c r="F60" s="42" t="n"/>
      <c r="G60" s="44" t="n"/>
    </row>
    <row r="61" ht="32" customHeight="1" s="32">
      <c r="A61" s="37" t="inlineStr">
        <is>
          <t>■ 画面・帳票要件</t>
        </is>
      </c>
      <c r="B61" s="38" t="n"/>
      <c r="C61" s="38" t="n"/>
      <c r="D61" s="38" t="n"/>
      <c r="E61" s="38" t="n"/>
      <c r="F61" s="38" t="n"/>
      <c r="G61" s="38" t="n"/>
    </row>
    <row r="62" ht="16" customHeight="1" s="32">
      <c r="A62" s="39" t="n">
        <v>54</v>
      </c>
      <c r="B62" s="40" t="inlineStr">
        <is>
          <t>画面・帳票要件</t>
        </is>
      </c>
      <c r="C62" s="40" t="inlineStr">
        <is>
          <t>ダッシュボード画面</t>
        </is>
      </c>
      <c r="D62" s="44" t="n"/>
      <c r="E62" s="40" t="inlineStr">
        <is>
          <t>経営サマリー画面: 受注・利益・安全・進捗の4象限表示</t>
        </is>
      </c>
      <c r="F62" s="42" t="n"/>
      <c r="G62" s="44" t="n"/>
    </row>
    <row r="63" ht="16" customHeight="1" s="32">
      <c r="A63" s="39" t="n">
        <v>55</v>
      </c>
      <c r="B63" s="40" t="inlineStr">
        <is>
          <t>画面・帳票要件</t>
        </is>
      </c>
      <c r="C63" s="40" t="inlineStr">
        <is>
          <t>ダッシュボード画面</t>
        </is>
      </c>
      <c r="D63" s="44" t="n"/>
      <c r="E63" s="40" t="inlineStr">
        <is>
          <t>ドリルダウン機能: サマリー→部門別→案件別への掘り下げ</t>
        </is>
      </c>
      <c r="F63" s="42" t="n"/>
      <c r="G63" s="44" t="n"/>
    </row>
    <row r="64" ht="16" customHeight="1" s="32">
      <c r="A64" s="39" t="n">
        <v>56</v>
      </c>
      <c r="B64" s="40" t="inlineStr">
        <is>
          <t>画面・帳票要件</t>
        </is>
      </c>
      <c r="C64" s="40" t="inlineStr">
        <is>
          <t>ダッシュボード画面</t>
        </is>
      </c>
      <c r="D64" s="44" t="n"/>
      <c r="E64" s="40" t="inlineStr">
        <is>
          <t>期間切替: 日次・月次・四半期・年次の切替</t>
        </is>
      </c>
      <c r="F64" s="42" t="n"/>
      <c r="G64" s="44" t="n"/>
    </row>
    <row r="65" ht="16" customHeight="1" s="32">
      <c r="A65" s="39" t="n">
        <v>57</v>
      </c>
      <c r="B65" s="40" t="inlineStr">
        <is>
          <t>画面・帳票要件</t>
        </is>
      </c>
      <c r="C65" s="40" t="inlineStr">
        <is>
          <t>ダッシュボード画面</t>
        </is>
      </c>
      <c r="D65" s="44" t="n"/>
      <c r="E65" s="40" t="inlineStr">
        <is>
          <t>フィルタ: 支店・工種・発注機関別絞り込み</t>
        </is>
      </c>
      <c r="F65" s="42" t="n"/>
      <c r="G65" s="44" t="n"/>
    </row>
    <row r="66" ht="32" customHeight="1" s="32">
      <c r="A66" s="37" t="inlineStr">
        <is>
          <t>■ 準拠法規・基準</t>
        </is>
      </c>
      <c r="B66" s="38" t="n"/>
      <c r="C66" s="38" t="n"/>
      <c r="D66" s="38" t="n"/>
      <c r="E66" s="38" t="n"/>
      <c r="F66" s="38" t="n"/>
      <c r="G66" s="38" t="n"/>
    </row>
    <row r="67" ht="16" customHeight="1" s="32">
      <c r="A67" s="39" t="n">
        <v>58</v>
      </c>
      <c r="B67" s="40" t="inlineStr">
        <is>
          <t>準拠法規・基準</t>
        </is>
      </c>
      <c r="C67" s="44" t="n"/>
      <c r="D67" s="44" t="n"/>
      <c r="E67" s="40" t="inlineStr">
        <is>
          <t>会社法（取締役会報告義務）</t>
        </is>
      </c>
      <c r="F67" s="42" t="n"/>
      <c r="G67" s="44" t="n"/>
    </row>
    <row r="68" ht="16" customHeight="1" s="32">
      <c r="A68" s="39" t="n">
        <v>59</v>
      </c>
      <c r="B68" s="40" t="inlineStr">
        <is>
          <t>準拠法規・基準</t>
        </is>
      </c>
      <c r="C68" s="44" t="n"/>
      <c r="D68" s="44" t="n"/>
      <c r="E68" s="40" t="inlineStr">
        <is>
          <t>金融商品取引法（有価証券報告書の場合）</t>
        </is>
      </c>
      <c r="F68" s="42" t="n"/>
      <c r="G68" s="44" t="n"/>
    </row>
    <row r="69" ht="16" customHeight="1" s="32">
      <c r="A69" s="39" t="n">
        <v>60</v>
      </c>
      <c r="B69" s="40" t="inlineStr">
        <is>
          <t>準拠法規・基準</t>
        </is>
      </c>
      <c r="C69" s="44" t="n"/>
      <c r="D69" s="44" t="n"/>
      <c r="E69" s="40" t="inlineStr">
        <is>
          <t>建設業法第27条の23（経営事項審査）</t>
        </is>
      </c>
      <c r="F69" s="42" t="n"/>
      <c r="G69" s="44" t="n"/>
    </row>
    <row r="70" ht="16" customHeight="1" s="32">
      <c r="A70" s="39" t="n">
        <v>61</v>
      </c>
      <c r="B70" s="40" t="inlineStr">
        <is>
          <t>準拠法規・基準</t>
        </is>
      </c>
      <c r="C70" s="44" t="n"/>
      <c r="D70" s="44" t="n"/>
      <c r="E70" s="40" t="inlineStr">
        <is>
          <t>品確法</t>
        </is>
      </c>
      <c r="F70" s="42" t="n"/>
      <c r="G70" s="44" t="n"/>
    </row>
    <row r="71" ht="16" customHeight="1" s="32">
      <c r="A71" s="39" t="n">
        <v>62</v>
      </c>
      <c r="B71" s="40" t="inlineStr">
        <is>
          <t>準拠法規・基準</t>
        </is>
      </c>
      <c r="C71" s="44" t="n"/>
      <c r="D71" s="44" t="n"/>
      <c r="E71" s="43" t="inlineStr">
        <is>
          <t>ISO9001/14001/45001（マネジメントレビュー要件）</t>
        </is>
      </c>
      <c r="F71" s="42" t="n"/>
      <c r="G71" s="44" t="n"/>
    </row>
    <row r="72" ht="16" customHeight="1" s="32">
      <c r="A72" s="39" t="n">
        <v>63</v>
      </c>
      <c r="B72" s="40" t="inlineStr">
        <is>
          <t>準拠法規・基準</t>
        </is>
      </c>
      <c r="C72" s="44" t="n"/>
      <c r="D72" s="44" t="n"/>
      <c r="E72" s="40" t="inlineStr">
        <is>
          <t>国交省 i-Construction 2.0</t>
        </is>
      </c>
      <c r="F72" s="42" t="n"/>
      <c r="G72" s="44" t="n"/>
    </row>
    <row r="73" ht="16" customHeight="1" s="32">
      <c r="A73" s="39" t="n">
        <v>64</v>
      </c>
      <c r="B73" s="40" t="inlineStr">
        <is>
          <t>準拠法規・基準</t>
        </is>
      </c>
      <c r="C73" s="44" t="n"/>
      <c r="D73" s="44" t="n"/>
      <c r="E73" s="43" t="inlineStr">
        <is>
          <t>SBTi（Science Based Targets initiative）</t>
        </is>
      </c>
      <c r="F73" s="42" t="n"/>
      <c r="G73" s="44" t="n"/>
    </row>
    <row r="74" ht="16" customHeight="1" s="32">
      <c r="A74" s="37" t="inlineStr">
        <is>
          <t>■ 移行要件</t>
        </is>
      </c>
      <c r="B74" s="38" t="n"/>
      <c r="C74" s="38" t="n"/>
      <c r="D74" s="38" t="n"/>
      <c r="E74" s="38" t="n"/>
      <c r="F74" s="38" t="n"/>
      <c r="G74" s="38" t="n"/>
    </row>
    <row r="75" ht="16" customHeight="1" s="32">
      <c r="A75" s="39" t="n">
        <v>65</v>
      </c>
      <c r="B75" s="40" t="inlineStr">
        <is>
          <t>移行要件</t>
        </is>
      </c>
      <c r="C75" s="40" t="inlineStr">
        <is>
          <t>現行データ移行</t>
        </is>
      </c>
      <c r="D75" s="44" t="n"/>
      <c r="E75" s="40" t="inlineStr">
        <is>
          <t>過去5年分の受注データ（Excel → PostgreSQL）</t>
        </is>
      </c>
      <c r="F75" s="42" t="n"/>
      <c r="G75" s="44" t="n"/>
    </row>
    <row r="76" ht="16" customHeight="1" s="32">
      <c r="A76" s="39" t="n">
        <v>66</v>
      </c>
      <c r="B76" s="40" t="inlineStr">
        <is>
          <t>移行要件</t>
        </is>
      </c>
      <c r="C76" s="40" t="inlineStr">
        <is>
          <t>現行データ移行</t>
        </is>
      </c>
      <c r="D76" s="44" t="n"/>
      <c r="E76" s="40" t="inlineStr">
        <is>
          <t>過去5年分の完成工事データ（Excel → PostgreSQL）</t>
        </is>
      </c>
      <c r="F76" s="42" t="n"/>
      <c r="G76" s="44" t="n"/>
    </row>
    <row r="77" ht="16" customHeight="1" s="32">
      <c r="A77" s="39" t="n">
        <v>67</v>
      </c>
      <c r="B77" s="40" t="inlineStr">
        <is>
          <t>移行要件</t>
        </is>
      </c>
      <c r="C77" s="40" t="inlineStr">
        <is>
          <t>現行データ移行</t>
        </is>
      </c>
      <c r="D77" s="44" t="n"/>
      <c r="E77" s="40" t="inlineStr">
        <is>
          <t>中期経営計画データ</t>
        </is>
      </c>
      <c r="F77" s="42" t="n"/>
      <c r="G77" s="44" t="n"/>
    </row>
    <row r="78" ht="16" customHeight="1" s="32">
      <c r="A78" s="39" t="n">
        <v>68</v>
      </c>
      <c r="B78" s="40" t="inlineStr">
        <is>
          <t>移行要件</t>
        </is>
      </c>
      <c r="C78" s="40" t="inlineStr">
        <is>
          <t>現行データ移行</t>
        </is>
      </c>
      <c r="D78" s="44" t="n"/>
      <c r="E78" s="43" t="inlineStr">
        <is>
          <t>KPI目標値データ</t>
        </is>
      </c>
      <c r="F78" s="42" t="n"/>
      <c r="G78" s="44" t="n"/>
    </row>
    <row r="79" ht="16" customHeight="1" s="32">
      <c r="A79" s="39" t="n">
        <v>69</v>
      </c>
      <c r="B79" s="40" t="inlineStr">
        <is>
          <t>移行要件</t>
        </is>
      </c>
      <c r="C79" s="40" t="inlineStr">
        <is>
          <t>並行運用期間</t>
        </is>
      </c>
      <c r="D79" s="44" t="n"/>
      <c r="E79" s="40" t="inlineStr">
        <is>
          <t>新システム稼働後3ヶ月間は現行Excel運用と並行</t>
        </is>
      </c>
      <c r="F79" s="42" t="n"/>
      <c r="G79" s="44" t="n"/>
    </row>
    <row r="80" ht="16" customHeight="1" s="32">
      <c r="A80" s="39" t="n">
        <v>70</v>
      </c>
      <c r="B80" s="40" t="inlineStr">
        <is>
          <t>移行要件</t>
        </is>
      </c>
      <c r="C80" s="40" t="inlineStr">
        <is>
          <t>並行運用期間</t>
        </is>
      </c>
      <c r="D80" s="44" t="n"/>
      <c r="E80" s="40" t="inlineStr">
        <is>
          <t>数値整合性の検証を月次で実施</t>
        </is>
      </c>
      <c r="F80" s="42" t="n"/>
      <c r="G80" s="44" t="n"/>
    </row>
    <row r="81" ht="16" customHeight="1" s="32">
      <c r="A81" s="39" t="n">
        <v>71</v>
      </c>
      <c r="B81" s="40" t="inlineStr">
        <is>
          <t>移行要件</t>
        </is>
      </c>
      <c r="C81" s="40" t="inlineStr">
        <is>
          <t>並行運用期間</t>
        </is>
      </c>
      <c r="D81" s="44" t="n"/>
      <c r="E81" s="40" t="inlineStr">
        <is>
          <t>項目:文書ID | 内容:BIZ-KEI-001</t>
        </is>
      </c>
      <c r="F81" s="42" t="n"/>
      <c r="G81" s="44" t="n"/>
    </row>
    <row r="82" ht="16" customHeight="1" s="32">
      <c r="A82" s="39" t="n">
        <v>72</v>
      </c>
      <c r="B82" s="40" t="inlineStr">
        <is>
          <t>移行要件</t>
        </is>
      </c>
      <c r="C82" s="40" t="inlineStr">
        <is>
          <t>並行運用期間</t>
        </is>
      </c>
      <c r="D82" s="44" t="n"/>
      <c r="E82" s="40" t="inlineStr">
        <is>
          <t>項目:版数 | 内容:1.0</t>
        </is>
      </c>
      <c r="F82" s="42" t="n"/>
      <c r="G82" s="44" t="n"/>
    </row>
    <row r="83" ht="16" customHeight="1" s="32">
      <c r="A83" s="39" t="n">
        <v>73</v>
      </c>
      <c r="B83" s="40" t="inlineStr">
        <is>
          <t>移行要件</t>
        </is>
      </c>
      <c r="C83" s="40" t="inlineStr">
        <is>
          <t>並行運用期間</t>
        </is>
      </c>
      <c r="D83" s="44" t="n"/>
      <c r="E83" s="40" t="inlineStr">
        <is>
          <t>項目:作成日 | 内容:2026年5月16日</t>
        </is>
      </c>
      <c r="F83" s="42" t="n"/>
      <c r="G83" s="44" t="n"/>
    </row>
    <row r="84" ht="16" customHeight="1" s="32">
      <c r="A84" s="39" t="n">
        <v>74</v>
      </c>
      <c r="B84" s="40" t="inlineStr">
        <is>
          <t>移行要件</t>
        </is>
      </c>
      <c r="C84" s="40" t="inlineStr">
        <is>
          <t>並行運用期間</t>
        </is>
      </c>
      <c r="D84" s="44" t="n"/>
      <c r="E84" s="40" t="inlineStr">
        <is>
          <t>項目:対象部門 | 内容:経営企画部（経営企画室）</t>
        </is>
      </c>
      <c r="F84" s="42" t="n"/>
      <c r="G84" s="44" t="n"/>
    </row>
    <row r="85" ht="32" customHeight="1" s="32">
      <c r="A85" s="39" t="n">
        <v>75</v>
      </c>
      <c r="B85" s="40" t="inlineStr">
        <is>
          <t>移行要件</t>
        </is>
      </c>
      <c r="C85" s="40" t="inlineStr">
        <is>
          <t>並行運用期間</t>
        </is>
      </c>
      <c r="D85" s="44" t="n"/>
      <c r="E85" s="40" t="inlineStr">
        <is>
          <t>項目:対象システム | 内容:Construction Executive Dashboard</t>
        </is>
      </c>
      <c r="F85" s="42" t="n"/>
      <c r="G85" s="44" t="n"/>
    </row>
    <row r="86" ht="16" customHeight="1" s="32">
      <c r="A86" s="39" t="n">
        <v>76</v>
      </c>
      <c r="B86" s="40" t="inlineStr">
        <is>
          <t>移行要件</t>
        </is>
      </c>
      <c r="C86" s="40" t="inlineStr">
        <is>
          <t>並行運用期間</t>
        </is>
      </c>
      <c r="D86" s="44" t="n"/>
      <c r="E86" s="40" t="inlineStr">
        <is>
          <t>役職:部長 | 人数（想定）:1名 | 主な業務:経営会議参画、戦略立案総括</t>
        </is>
      </c>
      <c r="F86" s="42" t="n"/>
      <c r="G86" s="44" t="n"/>
    </row>
    <row r="87" ht="16" customHeight="1" s="32">
      <c r="A87" s="39" t="n">
        <v>77</v>
      </c>
      <c r="B87" s="40" t="inlineStr">
        <is>
          <t>移行要件</t>
        </is>
      </c>
      <c r="C87" s="40" t="inlineStr">
        <is>
          <t>並行運用期間</t>
        </is>
      </c>
      <c r="D87" s="44" t="n"/>
      <c r="E87" s="40" t="inlineStr">
        <is>
          <t>役職:課長 | 人数（想定）:1～2名 | 主な業務:KPI管理、計画策定実務</t>
        </is>
      </c>
      <c r="F87" s="42" t="n"/>
      <c r="G87" s="44" t="n"/>
    </row>
    <row r="88" ht="32" customHeight="1" s="32">
      <c r="A88" s="39" t="n">
        <v>78</v>
      </c>
      <c r="B88" s="40" t="inlineStr">
        <is>
          <t>移行要件</t>
        </is>
      </c>
      <c r="C88" s="40" t="inlineStr">
        <is>
          <t>並行運用期間</t>
        </is>
      </c>
      <c r="D88" s="44" t="n"/>
      <c r="E88" s="40" t="inlineStr">
        <is>
          <t>役職:主任・担当 | 人数（想定）:2～4名 | 主な業務:データ分析、資料作成、BCP運用</t>
        </is>
      </c>
      <c r="F88" s="42" t="n"/>
      <c r="G88" s="44" t="n"/>
    </row>
    <row r="89" ht="16" customHeight="1" s="32">
      <c r="A89" s="39" t="n">
        <v>79</v>
      </c>
      <c r="B89" s="40" t="inlineStr">
        <is>
          <t>移行要件</t>
        </is>
      </c>
      <c r="C89" s="40" t="inlineStr">
        <is>
          <t>並行運用期間</t>
        </is>
      </c>
      <c r="D89" s="44" t="n"/>
      <c r="E89" s="40" t="inlineStr">
        <is>
          <t>データ項目:受注金額 | ソース部門:営業本部 | 更新頻度:日次 | 形式:数値</t>
        </is>
      </c>
      <c r="F89" s="42" t="n"/>
      <c r="G89" s="44" t="n"/>
    </row>
    <row r="90" ht="16" customHeight="1" s="32">
      <c r="A90" s="39" t="n">
        <v>80</v>
      </c>
      <c r="B90" s="40" t="inlineStr">
        <is>
          <t>移行要件</t>
        </is>
      </c>
      <c r="C90" s="40" t="inlineStr">
        <is>
          <t>並行運用期間</t>
        </is>
      </c>
      <c r="D90" s="44" t="n"/>
      <c r="E90" s="40" t="inlineStr">
        <is>
          <t>データ項目:工種分類 | ソース部門:営業本部 | 更新頻度:都度 | 形式:マスタ参照</t>
        </is>
      </c>
      <c r="F90" s="42" t="n"/>
      <c r="G90" s="44" t="n"/>
    </row>
    <row r="91" ht="16" customHeight="1" s="32">
      <c r="A91" s="39" t="n">
        <v>81</v>
      </c>
      <c r="B91" s="40" t="inlineStr">
        <is>
          <t>移行要件</t>
        </is>
      </c>
      <c r="C91" s="40" t="inlineStr">
        <is>
          <t>並行運用期間</t>
        </is>
      </c>
      <c r="D91" s="44" t="n"/>
      <c r="E91" s="40" t="inlineStr">
        <is>
          <t>データ項目:発注機関名 | ソース部門:営業本部 | 更新頻度:都度 | 形式:マスタ参照</t>
        </is>
      </c>
      <c r="F91" s="42" t="n"/>
      <c r="G91" s="44" t="n"/>
    </row>
    <row r="92" ht="16" customHeight="1" s="32">
      <c r="A92" s="39" t="n">
        <v>82</v>
      </c>
      <c r="B92" s="40" t="inlineStr">
        <is>
          <t>移行要件</t>
        </is>
      </c>
      <c r="C92" s="40" t="inlineStr">
        <is>
          <t>並行運用期間</t>
        </is>
      </c>
      <c r="D92" s="44" t="n"/>
      <c r="E92" s="40" t="inlineStr">
        <is>
          <t>データ項目:公共/民間区分 | ソース部門:営業本部 | 更新頻度:都度 | 形式:区分値</t>
        </is>
      </c>
      <c r="F92" s="42" t="n"/>
      <c r="G92" s="44" t="n"/>
    </row>
    <row r="93" ht="16" customHeight="1" s="32">
      <c r="A93" s="39" t="n">
        <v>83</v>
      </c>
      <c r="B93" s="40" t="inlineStr">
        <is>
          <t>移行要件</t>
        </is>
      </c>
      <c r="C93" s="40" t="inlineStr">
        <is>
          <t>並行運用期間</t>
        </is>
      </c>
      <c r="D93" s="44" t="n"/>
      <c r="E93" s="40" t="inlineStr">
        <is>
          <t>データ項目:支店別受注 | ソース部門:各支店 | 更新頻度:日次 | 形式:数値</t>
        </is>
      </c>
      <c r="F93" s="42" t="n"/>
      <c r="G93" s="44" t="n"/>
    </row>
    <row r="94" ht="32" customHeight="1" s="32">
      <c r="A94" s="39" t="n">
        <v>84</v>
      </c>
      <c r="B94" s="40" t="inlineStr">
        <is>
          <t>移行要件</t>
        </is>
      </c>
      <c r="C94" s="40" t="inlineStr">
        <is>
          <t>並行運用期間</t>
        </is>
      </c>
      <c r="D94" s="44" t="n"/>
      <c r="E94" s="40" t="inlineStr">
        <is>
          <t>データ項目:受注予算 | ソース部門:経営企画部 | 更新頻度:年次・修正時 | 形式:数値</t>
        </is>
      </c>
      <c r="F94" s="42" t="n"/>
      <c r="G94" s="44" t="n"/>
    </row>
    <row r="95" ht="16" customHeight="1" s="32">
      <c r="A95" s="39" t="n">
        <v>85</v>
      </c>
      <c r="B95" s="40" t="inlineStr">
        <is>
          <t>移行要件</t>
        </is>
      </c>
      <c r="C95" s="40" t="inlineStr">
        <is>
          <t>並行運用期間</t>
        </is>
      </c>
      <c r="D95" s="44" t="n"/>
      <c r="E95" s="40" t="inlineStr">
        <is>
          <t>データ項目:契約金額 | ソース部門:営業本部 | 更新頻度:契約時</t>
        </is>
      </c>
      <c r="F95" s="42" t="n"/>
      <c r="G95" s="44" t="n"/>
    </row>
    <row r="96" ht="16" customHeight="1" s="32">
      <c r="A96" s="39" t="n">
        <v>86</v>
      </c>
      <c r="B96" s="40" t="inlineStr">
        <is>
          <t>移行要件</t>
        </is>
      </c>
      <c r="C96" s="40" t="inlineStr">
        <is>
          <t>並行運用期間</t>
        </is>
      </c>
      <c r="D96" s="44" t="n"/>
      <c r="E96" s="40" t="inlineStr">
        <is>
          <t>データ項目:実行予算 | ソース部門:施工本部 | 更新頻度:着工時・修正時</t>
        </is>
      </c>
      <c r="F96" s="42" t="n"/>
      <c r="G96" s="44" t="n"/>
    </row>
    <row r="97" ht="16" customHeight="1" s="32">
      <c r="A97" s="39" t="n">
        <v>87</v>
      </c>
      <c r="B97" s="40" t="inlineStr">
        <is>
          <t>移行要件</t>
        </is>
      </c>
      <c r="C97" s="40" t="inlineStr">
        <is>
          <t>並行運用期間</t>
        </is>
      </c>
      <c r="D97" s="44" t="n"/>
      <c r="E97" s="40" t="inlineStr">
        <is>
          <t>データ項目:累計実績原価 | ソース部門:施工本部・管理本部 | 更新頻度:日次</t>
        </is>
      </c>
      <c r="F97" s="42" t="n"/>
      <c r="G97" s="44" t="n"/>
    </row>
    <row r="98" ht="16" customHeight="1" s="32">
      <c r="A98" s="39" t="n">
        <v>88</v>
      </c>
      <c r="B98" s="40" t="inlineStr">
        <is>
          <t>移行要件</t>
        </is>
      </c>
      <c r="C98" s="40" t="inlineStr">
        <is>
          <t>並行運用期間</t>
        </is>
      </c>
      <c r="D98" s="44" t="n"/>
      <c r="E98" s="40" t="inlineStr">
        <is>
          <t>データ項目:出来高 | ソース部門:施工本部 | 更新頻度:月次</t>
        </is>
      </c>
      <c r="F98" s="42" t="n"/>
      <c r="G98" s="44" t="n"/>
    </row>
    <row r="99" ht="16" customHeight="1" s="32">
      <c r="A99" s="39" t="n">
        <v>89</v>
      </c>
      <c r="B99" s="40" t="inlineStr">
        <is>
          <t>移行要件</t>
        </is>
      </c>
      <c r="C99" s="40" t="inlineStr">
        <is>
          <t>並行運用期間</t>
        </is>
      </c>
      <c r="D99" s="44" t="n"/>
      <c r="E99" s="40" t="inlineStr">
        <is>
          <t>データ項目:最終原価予測（EAC） | ソース部門:施工本部 | 更新頻度:月次</t>
        </is>
      </c>
      <c r="F99" s="42" t="n"/>
      <c r="G99" s="44" t="n"/>
    </row>
    <row r="100" ht="32" customHeight="1" s="32">
      <c r="A100" s="39" t="n">
        <v>90</v>
      </c>
      <c r="B100" s="40" t="inlineStr">
        <is>
          <t>移行要件</t>
        </is>
      </c>
      <c r="C100" s="40" t="inlineStr">
        <is>
          <t>並行運用期間</t>
        </is>
      </c>
      <c r="D100" s="44" t="n"/>
      <c r="E100" s="40" t="inlineStr">
        <is>
          <t>条件:予測利益率 &lt; 3% | アラートレベル:注意（黄色） | 通知先:工事部長・経営企画</t>
        </is>
      </c>
      <c r="F100" s="42" t="n"/>
      <c r="G100" s="44" t="n"/>
    </row>
    <row r="101" ht="32" customHeight="1" s="32">
      <c r="A101" s="39" t="n">
        <v>91</v>
      </c>
      <c r="B101" s="40" t="inlineStr">
        <is>
          <t>移行要件</t>
        </is>
      </c>
      <c r="C101" s="40" t="inlineStr">
        <is>
          <t>並行運用期間</t>
        </is>
      </c>
      <c r="D101" s="44" t="n"/>
      <c r="E101" s="40" t="inlineStr">
        <is>
          <t>条件:予測利益率 &lt; 0% | アラートレベル:警告（赤色） | 通知先:経営層・工事部長・経営企画</t>
        </is>
      </c>
      <c r="F101" s="42" t="n"/>
      <c r="G101" s="44" t="n"/>
    </row>
    <row r="102" ht="16" customHeight="1" s="32">
      <c r="A102" s="39" t="n">
        <v>92</v>
      </c>
      <c r="B102" s="40" t="inlineStr">
        <is>
          <t>移行要件</t>
        </is>
      </c>
      <c r="C102" s="40" t="inlineStr">
        <is>
          <t>並行運用期間</t>
        </is>
      </c>
      <c r="D102" s="44" t="n"/>
      <c r="E102" s="40" t="inlineStr">
        <is>
          <t>条件:利益率が前月比5%以上低下 | アラートレベル:注意（黄色） | 通知先:経営企画</t>
        </is>
      </c>
      <c r="F102" s="42" t="n"/>
      <c r="G102" s="44" t="n"/>
    </row>
    <row r="103" ht="32" customHeight="1" s="32">
      <c r="A103" s="39" t="n">
        <v>93</v>
      </c>
      <c r="B103" s="40" t="inlineStr">
        <is>
          <t>移行要件</t>
        </is>
      </c>
      <c r="C103" s="40" t="inlineStr">
        <is>
          <t>並行運用期間</t>
        </is>
      </c>
      <c r="D103" s="44" t="n"/>
      <c r="E103" s="40" t="inlineStr">
        <is>
          <t>指標:度数率 | 算出式:(死傷者数÷延べ労働時間)×1,000,000 | 目標値（例）:0.50以下</t>
        </is>
      </c>
      <c r="F103" s="42" t="n"/>
      <c r="G103" s="44" t="n"/>
    </row>
    <row r="104" ht="32" customHeight="1" s="32">
      <c r="A104" s="39" t="n">
        <v>94</v>
      </c>
      <c r="B104" s="40" t="inlineStr">
        <is>
          <t>移行要件</t>
        </is>
      </c>
      <c r="C104" s="40" t="inlineStr">
        <is>
          <t>並行運用期間</t>
        </is>
      </c>
      <c r="D104" s="44" t="n"/>
      <c r="E104" s="40" t="inlineStr">
        <is>
          <t>指標:強度率 | 算出式:(労働損失日数÷延べ労働時間)×1,000 | 目標値（例）:0.05以下</t>
        </is>
      </c>
      <c r="F104" s="42" t="n"/>
      <c r="G104" s="44" t="n"/>
    </row>
    <row r="105" ht="16" customHeight="1" s="32">
      <c r="A105" s="39" t="n">
        <v>95</v>
      </c>
      <c r="B105" s="40" t="inlineStr">
        <is>
          <t>移行要件</t>
        </is>
      </c>
      <c r="C105" s="40" t="inlineStr">
        <is>
          <t>並行運用期間</t>
        </is>
      </c>
      <c r="D105" s="44" t="n"/>
      <c r="E105" s="40" t="inlineStr">
        <is>
          <t>指標:事故件数 | 算出式:月次集計 | 目標値（例）:0件</t>
        </is>
      </c>
      <c r="F105" s="42" t="n"/>
      <c r="G105" s="44" t="n"/>
    </row>
    <row r="106" ht="32" customHeight="1" s="32">
      <c r="A106" s="39" t="n">
        <v>96</v>
      </c>
      <c r="B106" s="40" t="inlineStr">
        <is>
          <t>移行要件</t>
        </is>
      </c>
      <c r="C106" s="40" t="inlineStr">
        <is>
          <t>並行運用期間</t>
        </is>
      </c>
      <c r="D106" s="44" t="n"/>
      <c r="E106" s="40" t="inlineStr">
        <is>
          <t>指標:ヒヤリハット報告件数 | 算出式:月次集計 | 目標値（例）:前年比増（報告文化の定着）</t>
        </is>
      </c>
      <c r="F106" s="42" t="n"/>
      <c r="G106" s="44" t="n"/>
    </row>
    <row r="107" ht="16" customHeight="1" s="32">
      <c r="A107" s="39" t="n">
        <v>97</v>
      </c>
      <c r="B107" s="40" t="inlineStr">
        <is>
          <t>移行要件</t>
        </is>
      </c>
      <c r="C107" s="40" t="inlineStr">
        <is>
          <t>並行運用期間</t>
        </is>
      </c>
      <c r="D107" s="44" t="n"/>
      <c r="E107" s="40" t="inlineStr">
        <is>
          <t>指標:安全パトロール実施率 | 算出式:実施回数÷計画回数 | 目標値（例）:100%</t>
        </is>
      </c>
      <c r="F107" s="42" t="n"/>
      <c r="G107" s="44" t="n"/>
    </row>
    <row r="108" ht="32" customHeight="1" s="32">
      <c r="A108" s="39" t="n">
        <v>98</v>
      </c>
      <c r="B108" s="40" t="inlineStr">
        <is>
          <t>移行要件</t>
        </is>
      </c>
      <c r="C108" s="40" t="inlineStr">
        <is>
          <t>並行運用期間</t>
        </is>
      </c>
      <c r="D108" s="44" t="n"/>
      <c r="E108" s="40" t="inlineStr">
        <is>
          <t>区分:E（環境） | 指標:CO2排出量（Scope1/2/3） | 目標:SBTi目標準拠</t>
        </is>
      </c>
      <c r="F108" s="42" t="n"/>
      <c r="G108" s="44" t="n"/>
    </row>
    <row r="109" ht="16" customHeight="1" s="32">
      <c r="A109" s="39" t="n">
        <v>99</v>
      </c>
      <c r="B109" s="40" t="inlineStr">
        <is>
          <t>移行要件</t>
        </is>
      </c>
      <c r="C109" s="40" t="inlineStr">
        <is>
          <t>並行運用期間</t>
        </is>
      </c>
      <c r="D109" s="44" t="n"/>
      <c r="E109" s="40" t="inlineStr">
        <is>
          <t>区分:E（環境） | 指標:産業廃棄物リサイクル率 | 目標:95%以上</t>
        </is>
      </c>
      <c r="F109" s="42" t="n"/>
      <c r="G109" s="44" t="n"/>
    </row>
    <row r="110" ht="16" customHeight="1" s="32">
      <c r="A110" s="39" t="n">
        <v>100</v>
      </c>
      <c r="B110" s="40" t="inlineStr">
        <is>
          <t>移行要件</t>
        </is>
      </c>
      <c r="C110" s="40" t="inlineStr">
        <is>
          <t>並行運用期間</t>
        </is>
      </c>
      <c r="D110" s="44" t="n"/>
      <c r="E110" s="40" t="inlineStr">
        <is>
          <t>区分:S（社会） | 指標:女性管理職比率 | 目標:中計目標値</t>
        </is>
      </c>
      <c r="F110" s="42" t="n"/>
      <c r="G110" s="44" t="n"/>
    </row>
    <row r="111" ht="16" customHeight="1" s="32">
      <c r="A111" s="39" t="n">
        <v>101</v>
      </c>
      <c r="B111" s="40" t="inlineStr">
        <is>
          <t>移行要件</t>
        </is>
      </c>
      <c r="C111" s="40" t="inlineStr">
        <is>
          <t>並行運用期間</t>
        </is>
      </c>
      <c r="D111" s="44" t="n"/>
      <c r="E111" s="40" t="inlineStr">
        <is>
          <t>区分:S（社会） | 指標:有給取得率 | 目標:70%以上</t>
        </is>
      </c>
      <c r="F111" s="42" t="n"/>
      <c r="G111" s="44" t="n"/>
    </row>
    <row r="112" ht="16" customHeight="1" s="32">
      <c r="A112" s="39" t="n">
        <v>102</v>
      </c>
      <c r="B112" s="40" t="inlineStr">
        <is>
          <t>移行要件</t>
        </is>
      </c>
      <c r="C112" s="40" t="inlineStr">
        <is>
          <t>並行運用期間</t>
        </is>
      </c>
      <c r="D112" s="44" t="n"/>
      <c r="E112" s="40" t="inlineStr">
        <is>
          <t>区分:S（社会） | 指標:労災度数率 | 目標:0.50以下</t>
        </is>
      </c>
      <c r="F112" s="42" t="n"/>
      <c r="G112" s="44" t="n"/>
    </row>
    <row r="113" ht="16" customHeight="1" s="32">
      <c r="A113" s="39" t="n">
        <v>103</v>
      </c>
      <c r="B113" s="40" t="inlineStr">
        <is>
          <t>移行要件</t>
        </is>
      </c>
      <c r="C113" s="40" t="inlineStr">
        <is>
          <t>並行運用期間</t>
        </is>
      </c>
      <c r="D113" s="44" t="n"/>
      <c r="E113" s="40" t="inlineStr">
        <is>
          <t>区分:G（ガバナンス） | 指標:コンプライアンス研修受講率 | 目標:100%</t>
        </is>
      </c>
      <c r="F113" s="42" t="n"/>
      <c r="G113" s="44" t="n"/>
    </row>
    <row r="114" ht="32" customHeight="1" s="32">
      <c r="A114" s="39" t="n">
        <v>104</v>
      </c>
      <c r="B114" s="40" t="inlineStr">
        <is>
          <t>移行要件</t>
        </is>
      </c>
      <c r="C114" s="40" t="inlineStr">
        <is>
          <t>並行運用期間</t>
        </is>
      </c>
      <c r="D114" s="44" t="n"/>
      <c r="E114" s="40" t="inlineStr">
        <is>
          <t>連携先:営業本部CRM | 連携データ:受注データ・案件データ | 方向:← | 方式:REST API</t>
        </is>
      </c>
      <c r="F114" s="42" t="n"/>
      <c r="G114" s="44" t="n"/>
    </row>
    <row r="115" ht="32" customHeight="1" s="32">
      <c r="A115" s="39" t="n">
        <v>105</v>
      </c>
      <c r="B115" s="40" t="inlineStr">
        <is>
          <t>移行要件</t>
        </is>
      </c>
      <c r="C115" s="40" t="inlineStr">
        <is>
          <t>並行運用期間</t>
        </is>
      </c>
      <c r="D115" s="44" t="n"/>
      <c r="E115" s="40" t="inlineStr">
        <is>
          <t>連携先:施工本部管理システム | 連携データ:工事進捗・原価・出来高 | 方向:← | 方式:REST API</t>
        </is>
      </c>
      <c r="F115" s="42" t="n"/>
      <c r="G115" s="44" t="n"/>
    </row>
    <row r="116" ht="32" customHeight="1" s="32">
      <c r="A116" s="39" t="n">
        <v>106</v>
      </c>
      <c r="B116" s="40" t="inlineStr">
        <is>
          <t>移行要件</t>
        </is>
      </c>
      <c r="C116" s="40" t="inlineStr">
        <is>
          <t>並行運用期間</t>
        </is>
      </c>
      <c r="D116" s="44" t="n"/>
      <c r="E116" s="40" t="inlineStr">
        <is>
          <t>連携先:安全品質システム | 連携データ:安全指標・品質指標 | 方向:← | 方式:REST API</t>
        </is>
      </c>
      <c r="F116" s="42" t="n"/>
      <c r="G116" s="44" t="n"/>
    </row>
    <row r="117" ht="32" customHeight="1" s="32">
      <c r="A117" s="39" t="n">
        <v>107</v>
      </c>
      <c r="B117" s="40" t="inlineStr">
        <is>
          <t>移行要件</t>
        </is>
      </c>
      <c r="C117" s="40" t="inlineStr">
        <is>
          <t>並行運用期間</t>
        </is>
      </c>
      <c r="D117" s="44" t="n"/>
      <c r="E117" s="40" t="inlineStr">
        <is>
          <t>連携先:管理本部システム | 連携データ:人事・財務データ | 方向:← | 方式:REST API</t>
        </is>
      </c>
      <c r="F117" s="42" t="n"/>
      <c r="G117" s="44" t="n"/>
    </row>
    <row r="118" ht="32" customHeight="1" s="32">
      <c r="A118" s="39" t="n">
        <v>108</v>
      </c>
      <c r="B118" s="40" t="inlineStr">
        <is>
          <t>移行要件</t>
        </is>
      </c>
      <c r="C118" s="40" t="inlineStr">
        <is>
          <t>並行運用期間</t>
        </is>
      </c>
      <c r="D118" s="44" t="n"/>
      <c r="E118" s="40" t="inlineStr">
        <is>
          <t>連携先:購買システム | 連携データ:資材コスト・調達データ | 方向:← | 方式:REST API</t>
        </is>
      </c>
      <c r="F118" s="42" t="n"/>
      <c r="G118" s="44" t="n"/>
    </row>
    <row r="119" ht="32" customHeight="1" s="32">
      <c r="A119" s="39" t="n">
        <v>109</v>
      </c>
      <c r="B119" s="40" t="inlineStr">
        <is>
          <t>移行要件</t>
        </is>
      </c>
      <c r="C119" s="40" t="inlineStr">
        <is>
          <t>並行運用期間</t>
        </is>
      </c>
      <c r="D119" s="44" t="n"/>
      <c r="E119" s="40" t="inlineStr">
        <is>
          <t>連携先:船舶管理システム | 連携データ:稼働データ | 方向:← | 方式:REST API</t>
        </is>
      </c>
      <c r="F119" s="42" t="n"/>
      <c r="G119" s="44" t="n"/>
    </row>
    <row r="120" ht="32" customHeight="1" s="32">
      <c r="A120" s="39" t="n">
        <v>110</v>
      </c>
      <c r="B120" s="40" t="inlineStr">
        <is>
          <t>移行要件</t>
        </is>
      </c>
      <c r="C120" s="40" t="inlineStr">
        <is>
          <t>並行運用期間</t>
        </is>
      </c>
      <c r="D120" s="44" t="n"/>
      <c r="E120" s="40" t="inlineStr">
        <is>
          <t>連携先:SharePoint Online | 連携データ:経営会議資料 | 方向:↔ | 方式:Microsoft Graph API</t>
        </is>
      </c>
      <c r="F120" s="42" t="n"/>
      <c r="G120" s="44" t="n"/>
    </row>
    <row r="121" ht="32" customHeight="1" s="32">
      <c r="A121" s="39" t="n">
        <v>111</v>
      </c>
      <c r="B121" s="40" t="inlineStr">
        <is>
          <t>移行要件</t>
        </is>
      </c>
      <c r="C121" s="40" t="inlineStr">
        <is>
          <t>並行運用期間</t>
        </is>
      </c>
      <c r="D121" s="44" t="n"/>
      <c r="E121" s="40" t="inlineStr">
        <is>
          <t>連携先:統合データレイク | 連携データ:全社統合分析データ | 方向:← | 方式:ETL/API</t>
        </is>
      </c>
      <c r="F121" s="42" t="n"/>
      <c r="G121" s="44" t="n"/>
    </row>
    <row r="122" ht="32" customHeight="1" s="32">
      <c r="A122" s="39" t="n">
        <v>112</v>
      </c>
      <c r="B122" s="40" t="inlineStr">
        <is>
          <t>移行要件</t>
        </is>
      </c>
      <c r="C122" s="40" t="inlineStr">
        <is>
          <t>並行運用期間</t>
        </is>
      </c>
      <c r="D122" s="44" t="n"/>
      <c r="E122" s="40" t="inlineStr">
        <is>
          <t>帳票名:月次経営速報 | 頻度:毎月5営業日 | 形式:PDF/PPTX | 配信先:経営層</t>
        </is>
      </c>
      <c r="F122" s="42" t="n"/>
      <c r="G122" s="44" t="n"/>
    </row>
    <row r="123" ht="16" customHeight="1" s="32">
      <c r="A123" s="39" t="n">
        <v>113</v>
      </c>
      <c r="B123" s="40" t="inlineStr">
        <is>
          <t>移行要件</t>
        </is>
      </c>
      <c r="C123" s="40" t="inlineStr">
        <is>
          <t>並行運用期間</t>
        </is>
      </c>
      <c r="D123" s="44" t="n"/>
      <c r="E123" s="40" t="inlineStr">
        <is>
          <t>帳票名:受注速報 | 頻度:毎週月曜 | 形式:PDF | 配信先:営業本部・経営企画</t>
        </is>
      </c>
      <c r="F123" s="42" t="n"/>
      <c r="G123" s="44" t="n"/>
    </row>
    <row r="124" ht="16" customHeight="1" s="32">
      <c r="A124" s="39" t="n">
        <v>114</v>
      </c>
      <c r="B124" s="40" t="inlineStr">
        <is>
          <t>移行要件</t>
        </is>
      </c>
      <c r="C124" s="40" t="inlineStr">
        <is>
          <t>並行運用期間</t>
        </is>
      </c>
      <c r="D124" s="44" t="n"/>
      <c r="E124" s="40" t="inlineStr">
        <is>
          <t>帳票名:安全月報 | 頻度:毎月10日 | 形式:PDF | 配信先:経営層・安全品質本部</t>
        </is>
      </c>
      <c r="F124" s="42" t="n"/>
      <c r="G124" s="44" t="n"/>
    </row>
    <row r="125" ht="16" customHeight="1" s="32">
      <c r="A125" s="39" t="n">
        <v>115</v>
      </c>
      <c r="B125" s="40" t="inlineStr">
        <is>
          <t>移行要件</t>
        </is>
      </c>
      <c r="C125" s="40" t="inlineStr">
        <is>
          <t>並行運用期間</t>
        </is>
      </c>
      <c r="D125" s="44" t="n"/>
      <c r="E125" s="40" t="inlineStr">
        <is>
          <t>帳票名:KPIスコアカード | 頻度:四半期末 | 形式:PPTX | 配信先:取締役会</t>
        </is>
      </c>
      <c r="F125" s="42" t="n"/>
      <c r="G125" s="44" t="n"/>
    </row>
    <row r="126" ht="16" customHeight="1" s="32">
      <c r="A126" s="39" t="n">
        <v>116</v>
      </c>
      <c r="B126" s="40" t="inlineStr">
        <is>
          <t>移行要件</t>
        </is>
      </c>
      <c r="C126" s="40" t="inlineStr">
        <is>
          <t>並行運用期間</t>
        </is>
      </c>
      <c r="D126" s="44" t="n"/>
      <c r="E126" s="40" t="inlineStr">
        <is>
          <t>ロール:代表取締役 | 参照範囲:全社全データ | 操作権限:参照のみ</t>
        </is>
      </c>
      <c r="F126" s="42" t="n"/>
      <c r="G126" s="44" t="n"/>
    </row>
    <row r="127" ht="16" customHeight="1" s="32">
      <c r="A127" s="39" t="n">
        <v>117</v>
      </c>
      <c r="B127" s="40" t="inlineStr">
        <is>
          <t>移行要件</t>
        </is>
      </c>
      <c r="C127" s="40" t="inlineStr">
        <is>
          <t>並行運用期間</t>
        </is>
      </c>
      <c r="D127" s="44" t="n"/>
      <c r="E127" s="40" t="inlineStr">
        <is>
          <t>ロール:取締役・執行役員 | 参照範囲:全社全データ | 操作権限:参照のみ</t>
        </is>
      </c>
      <c r="F127" s="42" t="n"/>
      <c r="G127" s="44" t="n"/>
    </row>
    <row r="128" ht="16" customHeight="1" s="32">
      <c r="A128" s="39" t="n">
        <v>118</v>
      </c>
      <c r="B128" s="40" t="inlineStr">
        <is>
          <t>移行要件</t>
        </is>
      </c>
      <c r="C128" s="40" t="inlineStr">
        <is>
          <t>並行運用期間</t>
        </is>
      </c>
      <c r="D128" s="44" t="n"/>
      <c r="E128" s="40" t="inlineStr">
        <is>
          <t>ロール:経営企画部長 | 参照範囲:全社全データ | 操作権限:参照＋KPI設定＋帳票設定</t>
        </is>
      </c>
      <c r="F128" s="42" t="n"/>
      <c r="G128" s="44" t="n"/>
    </row>
    <row r="129" ht="16" customHeight="1" s="32">
      <c r="A129" s="39" t="n">
        <v>119</v>
      </c>
      <c r="B129" s="40" t="inlineStr">
        <is>
          <t>移行要件</t>
        </is>
      </c>
      <c r="C129" s="40" t="inlineStr">
        <is>
          <t>並行運用期間</t>
        </is>
      </c>
      <c r="D129" s="44" t="n"/>
      <c r="E129" s="40" t="inlineStr">
        <is>
          <t>ロール:経営企画担当 | 参照範囲:全社集計データ | 操作権限:参照＋帳票作成</t>
        </is>
      </c>
      <c r="F129" s="42" t="n"/>
      <c r="G129" s="44" t="n"/>
    </row>
    <row r="130" ht="16" customHeight="1" s="32">
      <c r="A130" s="39" t="n">
        <v>120</v>
      </c>
      <c r="B130" s="40" t="inlineStr">
        <is>
          <t>移行要件</t>
        </is>
      </c>
      <c r="C130" s="40" t="inlineStr">
        <is>
          <t>並行運用期間</t>
        </is>
      </c>
      <c r="D130" s="44" t="n"/>
      <c r="E130" s="40" t="inlineStr">
        <is>
          <t>ロール:部門長 | 参照範囲:自部門データ＋全社サマリー | 操作権限:参照のみ</t>
        </is>
      </c>
      <c r="F130" s="42" t="n"/>
      <c r="G130" s="44" t="n"/>
    </row>
    <row r="131" ht="16" customHeight="1" s="32"/>
    <row r="132" ht="32" customHeight="1" s="32">
      <c r="A132" s="45" t="inlineStr">
        <is>
          <t>合計業務項目数: 120件</t>
        </is>
      </c>
    </row>
  </sheetData>
  <autoFilter ref="A4:G130"/>
  <mergeCells count="8">
    <mergeCell ref="A66:G66"/>
    <mergeCell ref="A61:G61"/>
    <mergeCell ref="A74:G74"/>
    <mergeCell ref="A1:G1"/>
    <mergeCell ref="A16:G16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経営企画部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部門概要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部門概要</t>
        </is>
      </c>
      <c r="C7" s="40" t="inlineStr">
        <is>
          <t>部門ミッション</t>
        </is>
      </c>
      <c r="D7" s="40" t="inlineStr">
        <is>
          <t>中長期経営計画の策定と進捗管理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部門概要</t>
        </is>
      </c>
      <c r="C8" s="40" t="inlineStr">
        <is>
          <t>部門ミッション</t>
        </is>
      </c>
      <c r="D8" s="40" t="inlineStr">
        <is>
          <t>全社KPIの設計・モニタリング・改善提案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部門概要</t>
        </is>
      </c>
      <c r="C9" s="40" t="inlineStr">
        <is>
          <t>部門ミッション</t>
        </is>
      </c>
      <c r="D9" s="40" t="inlineStr">
        <is>
          <t>経営判断に必要な情報の収集・分析・報告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部門概要</t>
        </is>
      </c>
      <c r="C10" s="40" t="inlineStr">
        <is>
          <t>部門ミッション</t>
        </is>
      </c>
      <c r="D10" s="43" t="inlineStr">
        <is>
          <t>ESG/SDGs経営の推進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部門概要</t>
        </is>
      </c>
      <c r="C11" s="40" t="inlineStr">
        <is>
          <t>部門ミッション</t>
        </is>
      </c>
      <c r="D11" s="40" t="inlineStr">
        <is>
          <t>事業継続計画（BCP）の策定・維持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32" customHeight="1" s="32">
      <c r="A12" s="51" t="inlineStr">
        <is>
          <t>■ 現行業務フロー</t>
        </is>
      </c>
      <c r="B12" s="52" t="n"/>
      <c r="C12" s="52" t="n"/>
      <c r="D12" s="52" t="n"/>
      <c r="E12" s="53" t="n"/>
      <c r="F12" s="52" t="n"/>
      <c r="G12" s="52" t="n"/>
      <c r="H12" s="53" t="n"/>
      <c r="I12" s="53" t="n"/>
      <c r="J12" s="53" t="n"/>
      <c r="K12" s="53" t="n"/>
    </row>
    <row r="13" ht="16" customHeight="1" s="32">
      <c r="A13" s="54" t="n">
        <v>6</v>
      </c>
      <c r="B13" s="40" t="inlineStr">
        <is>
          <t>現行業務フロー</t>
        </is>
      </c>
      <c r="C13" s="40" t="inlineStr">
        <is>
          <t>月次経営報告業務</t>
        </is>
      </c>
      <c r="D13" s="40" t="inlineStr">
        <is>
          <t>各部門からのデータ形式がバラバラ（Excel・紙・メール本文）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現行業務フロー</t>
        </is>
      </c>
      <c r="C14" s="40" t="inlineStr">
        <is>
          <t>月次経営報告業務</t>
        </is>
      </c>
      <c r="D14" s="40" t="inlineStr">
        <is>
          <t>集計に毎月3～5営業日を要している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現行業務フロー</t>
        </is>
      </c>
      <c r="C15" s="40" t="inlineStr">
        <is>
          <t>月次経営報告業務</t>
        </is>
      </c>
      <c r="D15" s="40" t="inlineStr">
        <is>
          <t>リアルタイム性が無く、経営判断が遅れる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現行業務フロー</t>
        </is>
      </c>
      <c r="C16" s="40" t="inlineStr">
        <is>
          <t>月次経営報告業務</t>
        </is>
      </c>
      <c r="D16" s="40" t="inlineStr">
        <is>
          <t>データの正確性検証に工数がかかる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32" customHeight="1" s="32">
      <c r="A17" s="51" t="inlineStr">
        <is>
          <t>■ 業務要件（詳細）</t>
        </is>
      </c>
      <c r="B17" s="52" t="n"/>
      <c r="C17" s="52" t="n"/>
      <c r="D17" s="52" t="n"/>
      <c r="E17" s="53" t="n"/>
      <c r="F17" s="52" t="n"/>
      <c r="G17" s="52" t="n"/>
      <c r="H17" s="53" t="n"/>
      <c r="I17" s="53" t="n"/>
      <c r="J17" s="53" t="n"/>
      <c r="K17" s="53" t="n"/>
    </row>
    <row r="18" ht="16" customHeight="1" s="32">
      <c r="A18" s="54" t="n">
        <v>10</v>
      </c>
      <c r="B18" s="40" t="inlineStr">
        <is>
          <t>業務要件（詳細）</t>
        </is>
      </c>
      <c r="C18" s="40" t="inlineStr">
        <is>
          <t>受注高分析</t>
        </is>
      </c>
      <c r="D18" s="40" t="inlineStr">
        <is>
          <t>月次・四半期・年次での受注高推移グラフ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11</v>
      </c>
      <c r="B19" s="40" t="inlineStr">
        <is>
          <t>業務要件（詳細）</t>
        </is>
      </c>
      <c r="C19" s="40" t="inlineStr">
        <is>
          <t>受注高分析</t>
        </is>
      </c>
      <c r="D19" s="40" t="inlineStr">
        <is>
          <t>前年同期比・予算比の自動算出とアラート（達成率90%未満で警告）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12</v>
      </c>
      <c r="B20" s="40" t="inlineStr">
        <is>
          <t>業務要件（詳細）</t>
        </is>
      </c>
      <c r="C20" s="40" t="inlineStr">
        <is>
          <t>受注高分析</t>
        </is>
      </c>
      <c r="D20" s="40" t="inlineStr">
        <is>
          <t>発注機関別ランキング（国交省・地方自治体・NEXCO・民間別）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13</v>
      </c>
      <c r="B21" s="40" t="inlineStr">
        <is>
          <t>業務要件（詳細）</t>
        </is>
      </c>
      <c r="C21" s="40" t="inlineStr">
        <is>
          <t>受注高分析</t>
        </is>
      </c>
      <c r="D21" s="40" t="inlineStr">
        <is>
          <t>工種別受注構成比（海上工事・陸上工事・エネルギー関連等）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14</v>
      </c>
      <c r="B22" s="40" t="inlineStr">
        <is>
          <t>業務要件（詳細）</t>
        </is>
      </c>
      <c r="C22" s="40" t="inlineStr">
        <is>
          <t>受注高分析</t>
        </is>
      </c>
      <c r="D22" s="40" t="inlineStr">
        <is>
          <t>支店別受注ランキングと地域分析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15</v>
      </c>
      <c r="B23" s="40" t="inlineStr">
        <is>
          <t>業務要件（詳細）</t>
        </is>
      </c>
      <c r="C23" s="40" t="inlineStr">
        <is>
          <t>受注高分析</t>
        </is>
      </c>
      <c r="D23" s="40" t="inlineStr">
        <is>
          <t>公共工事比率の推移（品確法対応の観点）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16</v>
      </c>
      <c r="B24" s="40" t="inlineStr">
        <is>
          <t>業務要件（詳細）</t>
        </is>
      </c>
      <c r="C24" s="40" t="inlineStr">
        <is>
          <t>受注高分析</t>
        </is>
      </c>
      <c r="D24" s="40" t="inlineStr">
        <is>
          <t>月次受注速報（A4横1枚、自動生成）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17</v>
      </c>
      <c r="B25" s="40" t="inlineStr">
        <is>
          <t>業務要件（詳細）</t>
        </is>
      </c>
      <c r="C25" s="40" t="inlineStr">
        <is>
          <t>受注高分析</t>
        </is>
      </c>
      <c r="D25" s="40" t="inlineStr">
        <is>
          <t>四半期受注分析レポート（詳細版）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18</v>
      </c>
      <c r="B26" s="40" t="inlineStr">
        <is>
          <t>業務要件（詳細）</t>
        </is>
      </c>
      <c r="C26" s="40" t="inlineStr">
        <is>
          <t>受注高分析</t>
        </is>
      </c>
      <c r="D26" s="40" t="inlineStr">
        <is>
          <t>経営会議用受注サマリー（PowerPoint形式エクスポート）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19</v>
      </c>
      <c r="B27" s="40" t="inlineStr">
        <is>
          <t>業務要件（詳細）</t>
        </is>
      </c>
      <c r="C27" s="40" t="inlineStr">
        <is>
          <t>工事利益率分析</t>
        </is>
      </c>
      <c r="D27" s="40" t="inlineStr">
        <is>
          <t>案件別利益率のリアルタイム一覧（利益率順ソート）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20</v>
      </c>
      <c r="B28" s="40" t="inlineStr">
        <is>
          <t>業務要件（詳細）</t>
        </is>
      </c>
      <c r="C28" s="40" t="inlineStr">
        <is>
          <t>工事利益率分析</t>
        </is>
      </c>
      <c r="D28" s="40" t="inlineStr">
        <is>
          <t>赤字案件の即時アラート（予測利益率がマイナスになった時点）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21</v>
      </c>
      <c r="B29" s="40" t="inlineStr">
        <is>
          <t>業務要件（詳細）</t>
        </is>
      </c>
      <c r="C29" s="40" t="inlineStr">
        <is>
          <t>工事利益率分析</t>
        </is>
      </c>
      <c r="D29" s="40" t="inlineStr">
        <is>
          <t>工種別・支店別の平均利益率トレンド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22</v>
      </c>
      <c r="B30" s="40" t="inlineStr">
        <is>
          <t>業務要件（詳細）</t>
        </is>
      </c>
      <c r="C30" s="40" t="inlineStr">
        <is>
          <t>工事利益率分析</t>
        </is>
      </c>
      <c r="D30" s="40" t="inlineStr">
        <is>
          <t>利益率低下の要因分析（労務費増、材料費増、工期遅延等の寄与度）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32" customHeight="1" s="32">
      <c r="A31" s="54" t="n">
        <v>23</v>
      </c>
      <c r="B31" s="40" t="inlineStr">
        <is>
          <t>業務要件（詳細）</t>
        </is>
      </c>
      <c r="C31" s="40" t="inlineStr">
        <is>
          <t>工事利益率分析</t>
        </is>
      </c>
      <c r="D31" s="43" t="inlineStr">
        <is>
          <t>AI予測：過去データに基づく利益率低下の早期警告（着工後3ヶ月以内に予測）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24</v>
      </c>
      <c r="B32" s="40" t="inlineStr">
        <is>
          <t>業務要件（詳細）</t>
        </is>
      </c>
      <c r="C32" s="40" t="inlineStr">
        <is>
          <t>原価推移分析</t>
        </is>
      </c>
      <c r="D32" s="40" t="inlineStr">
        <is>
          <t>原価4要素（労務費・材料費・外注費・経費）の構成比推移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25</v>
      </c>
      <c r="B33" s="40" t="inlineStr">
        <is>
          <t>業務要件（詳細）</t>
        </is>
      </c>
      <c r="C33" s="40" t="inlineStr">
        <is>
          <t>原価推移分析</t>
        </is>
      </c>
      <c r="D33" s="40" t="inlineStr">
        <is>
          <t>予算vs実績の差異分析（サンバースト図/ウォーターフォール図）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26</v>
      </c>
      <c r="B34" s="40" t="inlineStr">
        <is>
          <t>業務要件（詳細）</t>
        </is>
      </c>
      <c r="C34" s="40" t="inlineStr">
        <is>
          <t>原価推移分析</t>
        </is>
      </c>
      <c r="D34" s="40" t="inlineStr">
        <is>
          <t>工種別の原価構造比較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27</v>
      </c>
      <c r="B35" s="40" t="inlineStr">
        <is>
          <t>業務要件（詳細）</t>
        </is>
      </c>
      <c r="C35" s="40" t="inlineStr">
        <is>
          <t>原価推移分析</t>
        </is>
      </c>
      <c r="D35" s="40" t="inlineStr">
        <is>
          <t>協力会社別の外注単価トレンド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16" customHeight="1" s="32">
      <c r="A36" s="54" t="n">
        <v>28</v>
      </c>
      <c r="B36" s="40" t="inlineStr">
        <is>
          <t>業務要件（詳細）</t>
        </is>
      </c>
      <c r="C36" s="40" t="inlineStr">
        <is>
          <t>原価推移分析</t>
        </is>
      </c>
      <c r="D36" s="40" t="inlineStr">
        <is>
          <t>資材価格の市場動向との比較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29</v>
      </c>
      <c r="B37" s="40" t="inlineStr">
        <is>
          <t>業務要件（詳細）</t>
        </is>
      </c>
      <c r="C37" s="40" t="inlineStr">
        <is>
          <t>工事進捗管理</t>
        </is>
      </c>
      <c r="D37" s="40" t="inlineStr">
        <is>
          <t>全社工事一覧（ステータス別：施工中・完成・待機）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30</v>
      </c>
      <c r="B38" s="40" t="inlineStr">
        <is>
          <t>業務要件（詳細）</t>
        </is>
      </c>
      <c r="C38" s="40" t="inlineStr">
        <is>
          <t>工事進捗管理</t>
        </is>
      </c>
      <c r="D38" s="40" t="inlineStr">
        <is>
          <t>工程消化率vs出来高進捗率の散布図（遅延検知）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31</v>
      </c>
      <c r="B39" s="40" t="inlineStr">
        <is>
          <t>業務要件（詳細）</t>
        </is>
      </c>
      <c r="C39" s="40" t="inlineStr">
        <is>
          <t>工事進捗管理</t>
        </is>
      </c>
      <c r="D39" s="40" t="inlineStr">
        <is>
          <t>遅延案件のハイライト表示（計画比7日以上遅延で赤表示）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32</v>
      </c>
      <c r="B40" s="40" t="inlineStr">
        <is>
          <t>業務要件（詳細）</t>
        </is>
      </c>
      <c r="C40" s="40" t="inlineStr">
        <is>
          <t>工事進捗管理</t>
        </is>
      </c>
      <c r="D40" s="40" t="inlineStr">
        <is>
          <t>月次完成予定工事一覧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33</v>
      </c>
      <c r="B41" s="40" t="inlineStr">
        <is>
          <t>業務要件（詳細）</t>
        </is>
      </c>
      <c r="C41" s="40" t="inlineStr">
        <is>
          <t>工事進捗管理</t>
        </is>
      </c>
      <c r="D41" s="43" t="inlineStr">
        <is>
          <t>AI工期遅延予測（天候・労務・資材納期からの確率予測）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34</v>
      </c>
      <c r="B42" s="40" t="inlineStr">
        <is>
          <t>業務要件（詳細）</t>
        </is>
      </c>
      <c r="C42" s="40" t="inlineStr">
        <is>
          <t>労務状況管理</t>
        </is>
      </c>
      <c r="D42" s="40" t="inlineStr">
        <is>
          <t>技術者配置状況（プロジェクト×技術者マトリクス）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35</v>
      </c>
      <c r="B43" s="40" t="inlineStr">
        <is>
          <t>業務要件（詳細）</t>
        </is>
      </c>
      <c r="C43" s="40" t="inlineStr">
        <is>
          <t>労務状況管理</t>
        </is>
      </c>
      <c r="D43" s="40" t="inlineStr">
        <is>
          <t>有資格者配置率（監理技術者・主任技術者の充足状況）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業務要件（詳細）</t>
        </is>
      </c>
      <c r="C44" s="40" t="inlineStr">
        <is>
          <t>労務状況管理</t>
        </is>
      </c>
      <c r="D44" s="40" t="inlineStr">
        <is>
          <t>月平均残業時間の部門別推移（36協定遵守確認）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37</v>
      </c>
      <c r="B45" s="40" t="inlineStr">
        <is>
          <t>業務要件（詳細）</t>
        </is>
      </c>
      <c r="C45" s="40" t="inlineStr">
        <is>
          <t>労務状況管理</t>
        </is>
      </c>
      <c r="D45" s="40" t="inlineStr">
        <is>
          <t>有給休暇取得率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業務要件（詳細）</t>
        </is>
      </c>
      <c r="C46" s="40" t="inlineStr">
        <is>
          <t>労務状況管理</t>
        </is>
      </c>
      <c r="D46" s="40" t="inlineStr">
        <is>
          <t>建設キャリアアップシステム（CCUS）連携による就業実績把握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32" customHeight="1" s="32">
      <c r="A47" s="54" t="n">
        <v>39</v>
      </c>
      <c r="B47" s="40" t="inlineStr">
        <is>
          <t>業務要件（詳細）</t>
        </is>
      </c>
      <c r="C47" s="43" t="inlineStr">
        <is>
          <t>AI予測分析</t>
        </is>
      </c>
      <c r="D47" s="40" t="inlineStr">
        <is>
          <t>入力データ: 工種、契約金額、工期、発注者、天候実績、原価進捗率、労務投入量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業務要件（詳細）</t>
        </is>
      </c>
      <c r="C48" s="43" t="inlineStr">
        <is>
          <t>AI予測分析</t>
        </is>
      </c>
      <c r="D48" s="40" t="inlineStr">
        <is>
          <t>出力: リスクスコア（0～100）＋リスク要因TOP3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業務要件（詳細）</t>
        </is>
      </c>
      <c r="C49" s="43" t="inlineStr">
        <is>
          <t>AI予測分析</t>
        </is>
      </c>
      <c r="D49" s="40" t="inlineStr">
        <is>
          <t>アラート閾値: スコア70以上で自動通知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業務要件（詳細）</t>
        </is>
      </c>
      <c r="C50" s="43" t="inlineStr">
        <is>
          <t>AI予測分析</t>
        </is>
      </c>
      <c r="D50" s="40" t="inlineStr">
        <is>
          <t>精度目標: 過去データ検証でAUC 0.80以上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43</v>
      </c>
      <c r="B51" s="40" t="inlineStr">
        <is>
          <t>業務要件（詳細）</t>
        </is>
      </c>
      <c r="C51" s="43" t="inlineStr">
        <is>
          <t>AI予測分析</t>
        </is>
      </c>
      <c r="D51" s="40" t="inlineStr">
        <is>
          <t>タイミング: 着工後3ヶ月時点で初回予測、以降月次更新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44</v>
      </c>
      <c r="B52" s="40" t="inlineStr">
        <is>
          <t>業務要件（詳細）</t>
        </is>
      </c>
      <c r="C52" s="43" t="inlineStr">
        <is>
          <t>AI予測分析</t>
        </is>
      </c>
      <c r="D52" s="40" t="inlineStr">
        <is>
          <t>判定基準: 予測最終利益率がマイナスになる確率が50%以上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45</v>
      </c>
      <c r="B53" s="40" t="inlineStr">
        <is>
          <t>業務要件（詳細）</t>
        </is>
      </c>
      <c r="C53" s="43" t="inlineStr">
        <is>
          <t>AI予測分析</t>
        </is>
      </c>
      <c r="D53" s="40" t="inlineStr">
        <is>
          <t>入力データ: 工程消化率、天候予報、労務投入計画、資材納入状況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46</v>
      </c>
      <c r="B54" s="40" t="inlineStr">
        <is>
          <t>業務要件（詳細）</t>
        </is>
      </c>
      <c r="C54" s="43" t="inlineStr">
        <is>
          <t>AI予測分析</t>
        </is>
      </c>
      <c r="D54" s="40" t="inlineStr">
        <is>
          <t>出力: 遅延確率（%）＋予測遅延日数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47</v>
      </c>
      <c r="B55" s="40" t="inlineStr">
        <is>
          <t>業務要件（詳細）</t>
        </is>
      </c>
      <c r="C55" s="43" t="inlineStr">
        <is>
          <t>AI予測分析</t>
        </is>
      </c>
      <c r="D55" s="40" t="inlineStr">
        <is>
          <t>入力データ: 受注予測、退職予測、資格取得計画、年齢構成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16" customHeight="1" s="32">
      <c r="A56" s="54" t="n">
        <v>48</v>
      </c>
      <c r="B56" s="40" t="inlineStr">
        <is>
          <t>業務要件（詳細）</t>
        </is>
      </c>
      <c r="C56" s="43" t="inlineStr">
        <is>
          <t>AI予測分析</t>
        </is>
      </c>
      <c r="D56" s="40" t="inlineStr">
        <is>
          <t>出力: 6ヶ月先・1年先の技術者需給ギャップ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16" customHeight="1" s="32">
      <c r="A57" s="54" t="n">
        <v>49</v>
      </c>
      <c r="B57" s="40" t="inlineStr">
        <is>
          <t>業務要件（詳細）</t>
        </is>
      </c>
      <c r="C57" s="43" t="inlineStr">
        <is>
          <t>BCP（事業継続計画）管理</t>
        </is>
      </c>
      <c r="D57" s="43" t="inlineStr">
        <is>
          <t>BCP発動基準の設定と発動判断ダッシュボード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16" customHeight="1" s="32">
      <c r="A58" s="54" t="n">
        <v>50</v>
      </c>
      <c r="B58" s="40" t="inlineStr">
        <is>
          <t>業務要件（詳細）</t>
        </is>
      </c>
      <c r="C58" s="43" t="inlineStr">
        <is>
          <t>BCP（事業継続計画）管理</t>
        </is>
      </c>
      <c r="D58" s="40" t="inlineStr">
        <is>
          <t>緊急連絡網の管理・テスト実施記録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16" customHeight="1" s="32">
      <c r="A59" s="54" t="n">
        <v>51</v>
      </c>
      <c r="B59" s="40" t="inlineStr">
        <is>
          <t>業務要件（詳細）</t>
        </is>
      </c>
      <c r="C59" s="43" t="inlineStr">
        <is>
          <t>BCP（事業継続計画）管理</t>
        </is>
      </c>
      <c r="D59" s="40" t="inlineStr">
        <is>
          <t>災害時の施工現場安全確認ステータス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52</v>
      </c>
      <c r="B60" s="40" t="inlineStr">
        <is>
          <t>業務要件（詳細）</t>
        </is>
      </c>
      <c r="C60" s="43" t="inlineStr">
        <is>
          <t>BCP（事業継続計画）管理</t>
        </is>
      </c>
      <c r="D60" s="40" t="inlineStr">
        <is>
          <t>重要設備・データのバックアップ状態確認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4" t="n">
        <v>53</v>
      </c>
      <c r="B61" s="40" t="inlineStr">
        <is>
          <t>業務要件（詳細）</t>
        </is>
      </c>
      <c r="C61" s="43" t="inlineStr">
        <is>
          <t>BCP（事業継続計画）管理</t>
        </is>
      </c>
      <c r="D61" s="40" t="inlineStr">
        <is>
          <t>訓練実施記録・改善計画管理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32" customHeight="1" s="32">
      <c r="A62" s="51" t="inlineStr">
        <is>
          <t>■ 画面・帳票要件</t>
        </is>
      </c>
      <c r="B62" s="52" t="n"/>
      <c r="C62" s="52" t="n"/>
      <c r="D62" s="52" t="n"/>
      <c r="E62" s="53" t="n"/>
      <c r="F62" s="52" t="n"/>
      <c r="G62" s="52" t="n"/>
      <c r="H62" s="53" t="n"/>
      <c r="I62" s="53" t="n"/>
      <c r="J62" s="53" t="n"/>
      <c r="K62" s="53" t="n"/>
    </row>
    <row r="63" ht="16" customHeight="1" s="32">
      <c r="A63" s="54" t="n">
        <v>54</v>
      </c>
      <c r="B63" s="40" t="inlineStr">
        <is>
          <t>画面・帳票要件</t>
        </is>
      </c>
      <c r="C63" s="40" t="inlineStr">
        <is>
          <t>ダッシュボード画面</t>
        </is>
      </c>
      <c r="D63" s="40" t="inlineStr">
        <is>
          <t>経営サマリー画面: 受注・利益・安全・進捗の4象限表示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16" customHeight="1" s="32">
      <c r="A64" s="54" t="n">
        <v>55</v>
      </c>
      <c r="B64" s="40" t="inlineStr">
        <is>
          <t>画面・帳票要件</t>
        </is>
      </c>
      <c r="C64" s="40" t="inlineStr">
        <is>
          <t>ダッシュボード画面</t>
        </is>
      </c>
      <c r="D64" s="40" t="inlineStr">
        <is>
          <t>ドリルダウン機能: サマリー→部門別→案件別への掘り下げ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16" customHeight="1" s="32">
      <c r="A65" s="54" t="n">
        <v>56</v>
      </c>
      <c r="B65" s="40" t="inlineStr">
        <is>
          <t>画面・帳票要件</t>
        </is>
      </c>
      <c r="C65" s="40" t="inlineStr">
        <is>
          <t>ダッシュボード画面</t>
        </is>
      </c>
      <c r="D65" s="40" t="inlineStr">
        <is>
          <t>期間切替: 日次・月次・四半期・年次の切替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16" customHeight="1" s="32">
      <c r="A66" s="54" t="n">
        <v>57</v>
      </c>
      <c r="B66" s="40" t="inlineStr">
        <is>
          <t>画面・帳票要件</t>
        </is>
      </c>
      <c r="C66" s="40" t="inlineStr">
        <is>
          <t>ダッシュボード画面</t>
        </is>
      </c>
      <c r="D66" s="40" t="inlineStr">
        <is>
          <t>フィルタ: 支店・工種・発注機関別絞り込み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32" customHeight="1" s="32">
      <c r="A67" s="51" t="inlineStr">
        <is>
          <t>■ 準拠法規・基準</t>
        </is>
      </c>
      <c r="B67" s="52" t="n"/>
      <c r="C67" s="52" t="n"/>
      <c r="D67" s="52" t="n"/>
      <c r="E67" s="53" t="n"/>
      <c r="F67" s="52" t="n"/>
      <c r="G67" s="52" t="n"/>
      <c r="H67" s="53" t="n"/>
      <c r="I67" s="53" t="n"/>
      <c r="J67" s="53" t="n"/>
      <c r="K67" s="53" t="n"/>
    </row>
    <row r="68" ht="16" customHeight="1" s="32">
      <c r="A68" s="54" t="n">
        <v>58</v>
      </c>
      <c r="B68" s="40" t="inlineStr">
        <is>
          <t>準拠法規・基準</t>
        </is>
      </c>
      <c r="C68" s="43" t="n"/>
      <c r="D68" s="40" t="inlineStr">
        <is>
          <t>会社法（取締役会報告義務）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59</v>
      </c>
      <c r="B69" s="40" t="inlineStr">
        <is>
          <t>準拠法規・基準</t>
        </is>
      </c>
      <c r="C69" s="43" t="n"/>
      <c r="D69" s="40" t="inlineStr">
        <is>
          <t>金融商品取引法（有価証券報告書の場合）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60</v>
      </c>
      <c r="B70" s="40" t="inlineStr">
        <is>
          <t>準拠法規・基準</t>
        </is>
      </c>
      <c r="C70" s="43" t="n"/>
      <c r="D70" s="40" t="inlineStr">
        <is>
          <t>建設業法第27条の23（経営事項審査）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16" customHeight="1" s="32">
      <c r="A71" s="54" t="n">
        <v>61</v>
      </c>
      <c r="B71" s="40" t="inlineStr">
        <is>
          <t>準拠法規・基準</t>
        </is>
      </c>
      <c r="C71" s="43" t="n"/>
      <c r="D71" s="40" t="inlineStr">
        <is>
          <t>品確法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62</v>
      </c>
      <c r="B72" s="40" t="inlineStr">
        <is>
          <t>準拠法規・基準</t>
        </is>
      </c>
      <c r="C72" s="43" t="n"/>
      <c r="D72" s="43" t="inlineStr">
        <is>
          <t>ISO9001/14001/45001（マネジメントレビュー要件）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63</v>
      </c>
      <c r="B73" s="40" t="inlineStr">
        <is>
          <t>準拠法規・基準</t>
        </is>
      </c>
      <c r="C73" s="43" t="n"/>
      <c r="D73" s="40" t="inlineStr">
        <is>
          <t>国交省 i-Construction 2.0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32" customHeight="1" s="32">
      <c r="A74" s="54" t="n">
        <v>64</v>
      </c>
      <c r="B74" s="40" t="inlineStr">
        <is>
          <t>準拠法規・基準</t>
        </is>
      </c>
      <c r="C74" s="43" t="n"/>
      <c r="D74" s="43" t="inlineStr">
        <is>
          <t>SBTi（Science Based Targets initiative）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1" t="inlineStr">
        <is>
          <t>■ 移行要件</t>
        </is>
      </c>
      <c r="B75" s="52" t="n"/>
      <c r="C75" s="52" t="n"/>
      <c r="D75" s="52" t="n"/>
      <c r="E75" s="53" t="n"/>
      <c r="F75" s="52" t="n"/>
      <c r="G75" s="52" t="n"/>
      <c r="H75" s="53" t="n"/>
      <c r="I75" s="53" t="n"/>
      <c r="J75" s="53" t="n"/>
      <c r="K75" s="53" t="n"/>
    </row>
    <row r="76" ht="16" customHeight="1" s="32">
      <c r="A76" s="54" t="n">
        <v>65</v>
      </c>
      <c r="B76" s="40" t="inlineStr">
        <is>
          <t>移行要件</t>
        </is>
      </c>
      <c r="C76" s="40" t="inlineStr">
        <is>
          <t>現行データ移行</t>
        </is>
      </c>
      <c r="D76" s="40" t="inlineStr">
        <is>
          <t>過去5年分の受注データ（Excel → PostgreSQL）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66</v>
      </c>
      <c r="B77" s="40" t="inlineStr">
        <is>
          <t>移行要件</t>
        </is>
      </c>
      <c r="C77" s="40" t="inlineStr">
        <is>
          <t>現行データ移行</t>
        </is>
      </c>
      <c r="D77" s="40" t="inlineStr">
        <is>
          <t>過去5年分の完成工事データ（Excel → PostgreSQL）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67</v>
      </c>
      <c r="B78" s="40" t="inlineStr">
        <is>
          <t>移行要件</t>
        </is>
      </c>
      <c r="C78" s="40" t="inlineStr">
        <is>
          <t>現行データ移行</t>
        </is>
      </c>
      <c r="D78" s="40" t="inlineStr">
        <is>
          <t>中期経営計画データ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68</v>
      </c>
      <c r="B79" s="40" t="inlineStr">
        <is>
          <t>移行要件</t>
        </is>
      </c>
      <c r="C79" s="40" t="inlineStr">
        <is>
          <t>現行データ移行</t>
        </is>
      </c>
      <c r="D79" s="43" t="inlineStr">
        <is>
          <t>KPI目標値データ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16" customHeight="1" s="32">
      <c r="A80" s="54" t="n">
        <v>69</v>
      </c>
      <c r="B80" s="40" t="inlineStr">
        <is>
          <t>移行要件</t>
        </is>
      </c>
      <c r="C80" s="40" t="inlineStr">
        <is>
          <t>並行運用期間</t>
        </is>
      </c>
      <c r="D80" s="40" t="inlineStr">
        <is>
          <t>新システム稼働後3ヶ月間は現行Excel運用と並行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16" customHeight="1" s="32">
      <c r="A81" s="54" t="n">
        <v>70</v>
      </c>
      <c r="B81" s="40" t="inlineStr">
        <is>
          <t>移行要件</t>
        </is>
      </c>
      <c r="C81" s="40" t="inlineStr">
        <is>
          <t>並行運用期間</t>
        </is>
      </c>
      <c r="D81" s="40" t="inlineStr">
        <is>
          <t>数値整合性の検証を月次で実施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16" customHeight="1" s="32">
      <c r="A82" s="54" t="n">
        <v>71</v>
      </c>
      <c r="B82" s="40" t="inlineStr">
        <is>
          <t>移行要件</t>
        </is>
      </c>
      <c r="C82" s="40" t="inlineStr">
        <is>
          <t>並行運用期間</t>
        </is>
      </c>
      <c r="D82" s="40" t="inlineStr">
        <is>
          <t>項目:文書ID | 内容:BIZ-KEI-001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16" customHeight="1" s="32">
      <c r="A83" s="54" t="n">
        <v>72</v>
      </c>
      <c r="B83" s="40" t="inlineStr">
        <is>
          <t>移行要件</t>
        </is>
      </c>
      <c r="C83" s="40" t="inlineStr">
        <is>
          <t>並行運用期間</t>
        </is>
      </c>
      <c r="D83" s="40" t="inlineStr">
        <is>
          <t>項目:版数 | 内容:1.0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16" customHeight="1" s="32">
      <c r="A84" s="54" t="n">
        <v>73</v>
      </c>
      <c r="B84" s="40" t="inlineStr">
        <is>
          <t>移行要件</t>
        </is>
      </c>
      <c r="C84" s="40" t="inlineStr">
        <is>
          <t>並行運用期間</t>
        </is>
      </c>
      <c r="D84" s="40" t="inlineStr">
        <is>
          <t>項目:作成日 | 内容:2026年5月16日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74</v>
      </c>
      <c r="B85" s="40" t="inlineStr">
        <is>
          <t>移行要件</t>
        </is>
      </c>
      <c r="C85" s="40" t="inlineStr">
        <is>
          <t>並行運用期間</t>
        </is>
      </c>
      <c r="D85" s="40" t="inlineStr">
        <is>
          <t>項目:対象部門 | 内容:経営企画部（経営企画室）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32" customHeight="1" s="32">
      <c r="A86" s="54" t="n">
        <v>75</v>
      </c>
      <c r="B86" s="40" t="inlineStr">
        <is>
          <t>移行要件</t>
        </is>
      </c>
      <c r="C86" s="40" t="inlineStr">
        <is>
          <t>並行運用期間</t>
        </is>
      </c>
      <c r="D86" s="40" t="inlineStr">
        <is>
          <t>項目:対象システム | 内容:Construction Executive Dashboard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32" customHeight="1" s="32">
      <c r="A87" s="54" t="n">
        <v>76</v>
      </c>
      <c r="B87" s="40" t="inlineStr">
        <is>
          <t>移行要件</t>
        </is>
      </c>
      <c r="C87" s="40" t="inlineStr">
        <is>
          <t>並行運用期間</t>
        </is>
      </c>
      <c r="D87" s="40" t="inlineStr">
        <is>
          <t>役職:部長 | 人数（想定）:1名 | 主な業務:経営会議参画、戦略立案総括</t>
        </is>
      </c>
      <c r="E87" s="54" t="n"/>
      <c r="F87" s="43" t="n"/>
      <c r="G87" s="43" t="n"/>
      <c r="H87" s="54" t="n"/>
      <c r="I87" s="54" t="n"/>
      <c r="J87" s="54" t="n"/>
      <c r="K87" s="54" t="n"/>
    </row>
    <row r="88" ht="32" customHeight="1" s="32">
      <c r="A88" s="54" t="n">
        <v>77</v>
      </c>
      <c r="B88" s="40" t="inlineStr">
        <is>
          <t>移行要件</t>
        </is>
      </c>
      <c r="C88" s="40" t="inlineStr">
        <is>
          <t>並行運用期間</t>
        </is>
      </c>
      <c r="D88" s="40" t="inlineStr">
        <is>
          <t>役職:課長 | 人数（想定）:1～2名 | 主な業務:KPI管理、計画策定実務</t>
        </is>
      </c>
      <c r="E88" s="54" t="n"/>
      <c r="F88" s="43" t="n"/>
      <c r="G88" s="43" t="n"/>
      <c r="H88" s="54" t="n"/>
      <c r="I88" s="54" t="n"/>
      <c r="J88" s="54" t="n"/>
      <c r="K88" s="54" t="n"/>
    </row>
    <row r="89" ht="32" customHeight="1" s="32">
      <c r="A89" s="54" t="n">
        <v>78</v>
      </c>
      <c r="B89" s="40" t="inlineStr">
        <is>
          <t>移行要件</t>
        </is>
      </c>
      <c r="C89" s="40" t="inlineStr">
        <is>
          <t>並行運用期間</t>
        </is>
      </c>
      <c r="D89" s="40" t="inlineStr">
        <is>
          <t>役職:主任・担当 | 人数（想定）:2～4名 | 主な業務:データ分析、資料作成、BCP運用</t>
        </is>
      </c>
      <c r="E89" s="54" t="n"/>
      <c r="F89" s="43" t="n"/>
      <c r="G89" s="43" t="n"/>
      <c r="H89" s="54" t="n"/>
      <c r="I89" s="54" t="n"/>
      <c r="J89" s="54" t="n"/>
      <c r="K89" s="54" t="n"/>
    </row>
    <row r="90" ht="32" customHeight="1" s="32">
      <c r="A90" s="54" t="n">
        <v>79</v>
      </c>
      <c r="B90" s="40" t="inlineStr">
        <is>
          <t>移行要件</t>
        </is>
      </c>
      <c r="C90" s="40" t="inlineStr">
        <is>
          <t>並行運用期間</t>
        </is>
      </c>
      <c r="D90" s="40" t="inlineStr">
        <is>
          <t>データ項目:受注金額 | ソース部門:営業本部 | 更新頻度:日次 | 形式:数値</t>
        </is>
      </c>
      <c r="E90" s="54" t="n"/>
      <c r="F90" s="43" t="n"/>
      <c r="G90" s="43" t="n"/>
      <c r="H90" s="54" t="n"/>
      <c r="I90" s="54" t="n"/>
      <c r="J90" s="54" t="n"/>
      <c r="K90" s="54" t="n"/>
    </row>
    <row r="91" ht="32" customHeight="1" s="32">
      <c r="A91" s="54" t="n">
        <v>80</v>
      </c>
      <c r="B91" s="40" t="inlineStr">
        <is>
          <t>移行要件</t>
        </is>
      </c>
      <c r="C91" s="40" t="inlineStr">
        <is>
          <t>並行運用期間</t>
        </is>
      </c>
      <c r="D91" s="40" t="inlineStr">
        <is>
          <t>データ項目:工種分類 | ソース部門:営業本部 | 更新頻度:都度 | 形式:マスタ参照</t>
        </is>
      </c>
      <c r="E91" s="54" t="n"/>
      <c r="F91" s="43" t="n"/>
      <c r="G91" s="43" t="n"/>
      <c r="H91" s="54" t="n"/>
      <c r="I91" s="54" t="n"/>
      <c r="J91" s="54" t="n"/>
      <c r="K91" s="54" t="n"/>
    </row>
    <row r="92" ht="32" customHeight="1" s="32">
      <c r="A92" s="54" t="n">
        <v>81</v>
      </c>
      <c r="B92" s="40" t="inlineStr">
        <is>
          <t>移行要件</t>
        </is>
      </c>
      <c r="C92" s="40" t="inlineStr">
        <is>
          <t>並行運用期間</t>
        </is>
      </c>
      <c r="D92" s="40" t="inlineStr">
        <is>
          <t>データ項目:発注機関名 | ソース部門:営業本部 | 更新頻度:都度 | 形式:マスタ参照</t>
        </is>
      </c>
      <c r="E92" s="54" t="n"/>
      <c r="F92" s="43" t="n"/>
      <c r="G92" s="43" t="n"/>
      <c r="H92" s="54" t="n"/>
      <c r="I92" s="54" t="n"/>
      <c r="J92" s="54" t="n"/>
      <c r="K92" s="54" t="n"/>
    </row>
    <row r="93" ht="32" customHeight="1" s="32">
      <c r="A93" s="54" t="n">
        <v>82</v>
      </c>
      <c r="B93" s="40" t="inlineStr">
        <is>
          <t>移行要件</t>
        </is>
      </c>
      <c r="C93" s="40" t="inlineStr">
        <is>
          <t>並行運用期間</t>
        </is>
      </c>
      <c r="D93" s="40" t="inlineStr">
        <is>
          <t>データ項目:公共/民間区分 | ソース部門:営業本部 | 更新頻度:都度 | 形式:区分値</t>
        </is>
      </c>
      <c r="E93" s="54" t="n"/>
      <c r="F93" s="43" t="n"/>
      <c r="G93" s="43" t="n"/>
      <c r="H93" s="54" t="n"/>
      <c r="I93" s="54" t="n"/>
      <c r="J93" s="54" t="n"/>
      <c r="K93" s="54" t="n"/>
    </row>
    <row r="94" ht="32" customHeight="1" s="32">
      <c r="A94" s="54" t="n">
        <v>83</v>
      </c>
      <c r="B94" s="40" t="inlineStr">
        <is>
          <t>移行要件</t>
        </is>
      </c>
      <c r="C94" s="40" t="inlineStr">
        <is>
          <t>並行運用期間</t>
        </is>
      </c>
      <c r="D94" s="40" t="inlineStr">
        <is>
          <t>データ項目:支店別受注 | ソース部門:各支店 | 更新頻度:日次 | 形式:数値</t>
        </is>
      </c>
      <c r="E94" s="54" t="n"/>
      <c r="F94" s="43" t="n"/>
      <c r="G94" s="43" t="n"/>
      <c r="H94" s="54" t="n"/>
      <c r="I94" s="54" t="n"/>
      <c r="J94" s="54" t="n"/>
      <c r="K94" s="54" t="n"/>
    </row>
    <row r="95" ht="32" customHeight="1" s="32">
      <c r="A95" s="54" t="n">
        <v>84</v>
      </c>
      <c r="B95" s="40" t="inlineStr">
        <is>
          <t>移行要件</t>
        </is>
      </c>
      <c r="C95" s="40" t="inlineStr">
        <is>
          <t>並行運用期間</t>
        </is>
      </c>
      <c r="D95" s="40" t="inlineStr">
        <is>
          <t>データ項目:受注予算 | ソース部門:経営企画部 | 更新頻度:年次・修正時 | 形式:数値</t>
        </is>
      </c>
      <c r="E95" s="54" t="n"/>
      <c r="F95" s="43" t="n"/>
      <c r="G95" s="43" t="n"/>
      <c r="H95" s="54" t="n"/>
      <c r="I95" s="54" t="n"/>
      <c r="J95" s="54" t="n"/>
      <c r="K95" s="54" t="n"/>
    </row>
    <row r="96" ht="16" customHeight="1" s="32">
      <c r="A96" s="54" t="n">
        <v>85</v>
      </c>
      <c r="B96" s="40" t="inlineStr">
        <is>
          <t>移行要件</t>
        </is>
      </c>
      <c r="C96" s="40" t="inlineStr">
        <is>
          <t>並行運用期間</t>
        </is>
      </c>
      <c r="D96" s="40" t="inlineStr">
        <is>
          <t>データ項目:契約金額 | ソース部門:営業本部 | 更新頻度:契約時</t>
        </is>
      </c>
      <c r="E96" s="54" t="n"/>
      <c r="F96" s="43" t="n"/>
      <c r="G96" s="43" t="n"/>
      <c r="H96" s="54" t="n"/>
      <c r="I96" s="54" t="n"/>
      <c r="J96" s="54" t="n"/>
      <c r="K96" s="54" t="n"/>
    </row>
    <row r="97" ht="32" customHeight="1" s="32">
      <c r="A97" s="54" t="n">
        <v>86</v>
      </c>
      <c r="B97" s="40" t="inlineStr">
        <is>
          <t>移行要件</t>
        </is>
      </c>
      <c r="C97" s="40" t="inlineStr">
        <is>
          <t>並行運用期間</t>
        </is>
      </c>
      <c r="D97" s="40" t="inlineStr">
        <is>
          <t>データ項目:実行予算 | ソース部門:施工本部 | 更新頻度:着工時・修正時</t>
        </is>
      </c>
      <c r="E97" s="54" t="n"/>
      <c r="F97" s="43" t="n"/>
      <c r="G97" s="43" t="n"/>
      <c r="H97" s="54" t="n"/>
      <c r="I97" s="54" t="n"/>
      <c r="J97" s="54" t="n"/>
      <c r="K97" s="54" t="n"/>
    </row>
    <row r="98" ht="32" customHeight="1" s="32">
      <c r="A98" s="54" t="n">
        <v>87</v>
      </c>
      <c r="B98" s="40" t="inlineStr">
        <is>
          <t>移行要件</t>
        </is>
      </c>
      <c r="C98" s="40" t="inlineStr">
        <is>
          <t>並行運用期間</t>
        </is>
      </c>
      <c r="D98" s="40" t="inlineStr">
        <is>
          <t>データ項目:累計実績原価 | ソース部門:施工本部・管理本部 | 更新頻度:日次</t>
        </is>
      </c>
      <c r="E98" s="54" t="n"/>
      <c r="F98" s="43" t="n"/>
      <c r="G98" s="43" t="n"/>
      <c r="H98" s="54" t="n"/>
      <c r="I98" s="54" t="n"/>
      <c r="J98" s="54" t="n"/>
      <c r="K98" s="54" t="n"/>
    </row>
    <row r="99" ht="16" customHeight="1" s="32">
      <c r="A99" s="54" t="n">
        <v>88</v>
      </c>
      <c r="B99" s="40" t="inlineStr">
        <is>
          <t>移行要件</t>
        </is>
      </c>
      <c r="C99" s="40" t="inlineStr">
        <is>
          <t>並行運用期間</t>
        </is>
      </c>
      <c r="D99" s="40" t="inlineStr">
        <is>
          <t>データ項目:出来高 | ソース部門:施工本部 | 更新頻度:月次</t>
        </is>
      </c>
      <c r="E99" s="54" t="n"/>
      <c r="F99" s="43" t="n"/>
      <c r="G99" s="43" t="n"/>
      <c r="H99" s="54" t="n"/>
      <c r="I99" s="54" t="n"/>
      <c r="J99" s="54" t="n"/>
      <c r="K99" s="54" t="n"/>
    </row>
    <row r="100" ht="32" customHeight="1" s="32">
      <c r="A100" s="54" t="n">
        <v>89</v>
      </c>
      <c r="B100" s="40" t="inlineStr">
        <is>
          <t>移行要件</t>
        </is>
      </c>
      <c r="C100" s="40" t="inlineStr">
        <is>
          <t>並行運用期間</t>
        </is>
      </c>
      <c r="D100" s="40" t="inlineStr">
        <is>
          <t>データ項目:最終原価予測（EAC） | ソース部門:施工本部 | 更新頻度:月次</t>
        </is>
      </c>
      <c r="E100" s="54" t="n"/>
      <c r="F100" s="43" t="n"/>
      <c r="G100" s="43" t="n"/>
      <c r="H100" s="54" t="n"/>
      <c r="I100" s="54" t="n"/>
      <c r="J100" s="54" t="n"/>
      <c r="K100" s="54" t="n"/>
    </row>
    <row r="101" ht="32" customHeight="1" s="32">
      <c r="A101" s="54" t="n">
        <v>90</v>
      </c>
      <c r="B101" s="40" t="inlineStr">
        <is>
          <t>移行要件</t>
        </is>
      </c>
      <c r="C101" s="40" t="inlineStr">
        <is>
          <t>並行運用期間</t>
        </is>
      </c>
      <c r="D101" s="40" t="inlineStr">
        <is>
          <t>条件:予測利益率 &lt; 3% | アラートレベル:注意（黄色） | 通知先:工事部長・経営企画</t>
        </is>
      </c>
      <c r="E101" s="54" t="n"/>
      <c r="F101" s="43" t="n"/>
      <c r="G101" s="43" t="n"/>
      <c r="H101" s="54" t="n"/>
      <c r="I101" s="54" t="n"/>
      <c r="J101" s="54" t="n"/>
      <c r="K101" s="54" t="n"/>
    </row>
    <row r="102" ht="32" customHeight="1" s="32">
      <c r="A102" s="54" t="n">
        <v>91</v>
      </c>
      <c r="B102" s="40" t="inlineStr">
        <is>
          <t>移行要件</t>
        </is>
      </c>
      <c r="C102" s="40" t="inlineStr">
        <is>
          <t>並行運用期間</t>
        </is>
      </c>
      <c r="D102" s="40" t="inlineStr">
        <is>
          <t>条件:予測利益率 &lt; 0% | アラートレベル:警告（赤色） | 通知先:経営層・工事部長・経営企画</t>
        </is>
      </c>
      <c r="E102" s="54" t="n"/>
      <c r="F102" s="43" t="n"/>
      <c r="G102" s="43" t="n"/>
      <c r="H102" s="54" t="n"/>
      <c r="I102" s="54" t="n"/>
      <c r="J102" s="54" t="n"/>
      <c r="K102" s="54" t="n"/>
    </row>
    <row r="103" ht="32" customHeight="1" s="32">
      <c r="A103" s="54" t="n">
        <v>92</v>
      </c>
      <c r="B103" s="40" t="inlineStr">
        <is>
          <t>移行要件</t>
        </is>
      </c>
      <c r="C103" s="40" t="inlineStr">
        <is>
          <t>並行運用期間</t>
        </is>
      </c>
      <c r="D103" s="40" t="inlineStr">
        <is>
          <t>条件:利益率が前月比5%以上低下 | アラートレベル:注意（黄色） | 通知先:経営企画</t>
        </is>
      </c>
      <c r="E103" s="54" t="n"/>
      <c r="F103" s="43" t="n"/>
      <c r="G103" s="43" t="n"/>
      <c r="H103" s="54" t="n"/>
      <c r="I103" s="54" t="n"/>
      <c r="J103" s="54" t="n"/>
      <c r="K103" s="54" t="n"/>
    </row>
    <row r="104" ht="32" customHeight="1" s="32">
      <c r="A104" s="54" t="n">
        <v>93</v>
      </c>
      <c r="B104" s="40" t="inlineStr">
        <is>
          <t>移行要件</t>
        </is>
      </c>
      <c r="C104" s="40" t="inlineStr">
        <is>
          <t>並行運用期間</t>
        </is>
      </c>
      <c r="D104" s="40" t="inlineStr">
        <is>
          <t>指標:度数率 | 算出式:(死傷者数÷延べ労働時間)×1,000,000 | 目標値（例）:0.50以下</t>
        </is>
      </c>
      <c r="E104" s="54" t="n"/>
      <c r="F104" s="43" t="n"/>
      <c r="G104" s="43" t="n"/>
      <c r="H104" s="54" t="n"/>
      <c r="I104" s="54" t="n"/>
      <c r="J104" s="54" t="n"/>
      <c r="K104" s="54" t="n"/>
    </row>
    <row r="105" ht="32" customHeight="1" s="32">
      <c r="A105" s="54" t="n">
        <v>94</v>
      </c>
      <c r="B105" s="40" t="inlineStr">
        <is>
          <t>移行要件</t>
        </is>
      </c>
      <c r="C105" s="40" t="inlineStr">
        <is>
          <t>並行運用期間</t>
        </is>
      </c>
      <c r="D105" s="40" t="inlineStr">
        <is>
          <t>指標:強度率 | 算出式:(労働損失日数÷延べ労働時間)×1,000 | 目標値（例）:0.05以下</t>
        </is>
      </c>
      <c r="E105" s="54" t="n"/>
      <c r="F105" s="43" t="n"/>
      <c r="G105" s="43" t="n"/>
      <c r="H105" s="54" t="n"/>
      <c r="I105" s="54" t="n"/>
      <c r="J105" s="54" t="n"/>
      <c r="K105" s="54" t="n"/>
    </row>
    <row r="106" ht="16" customHeight="1" s="32">
      <c r="A106" s="54" t="n">
        <v>95</v>
      </c>
      <c r="B106" s="40" t="inlineStr">
        <is>
          <t>移行要件</t>
        </is>
      </c>
      <c r="C106" s="40" t="inlineStr">
        <is>
          <t>並行運用期間</t>
        </is>
      </c>
      <c r="D106" s="40" t="inlineStr">
        <is>
          <t>指標:事故件数 | 算出式:月次集計 | 目標値（例）:0件</t>
        </is>
      </c>
      <c r="E106" s="54" t="n"/>
      <c r="F106" s="43" t="n"/>
      <c r="G106" s="43" t="n"/>
      <c r="H106" s="54" t="n"/>
      <c r="I106" s="54" t="n"/>
      <c r="J106" s="54" t="n"/>
      <c r="K106" s="54" t="n"/>
    </row>
    <row r="107" ht="32" customHeight="1" s="32">
      <c r="A107" s="54" t="n">
        <v>96</v>
      </c>
      <c r="B107" s="40" t="inlineStr">
        <is>
          <t>移行要件</t>
        </is>
      </c>
      <c r="C107" s="40" t="inlineStr">
        <is>
          <t>並行運用期間</t>
        </is>
      </c>
      <c r="D107" s="40" t="inlineStr">
        <is>
          <t>指標:ヒヤリハット報告件数 | 算出式:月次集計 | 目標値（例）:前年比増（報告文化の定着）</t>
        </is>
      </c>
      <c r="E107" s="54" t="n"/>
      <c r="F107" s="43" t="n"/>
      <c r="G107" s="43" t="n"/>
      <c r="H107" s="54" t="n"/>
      <c r="I107" s="54" t="n"/>
      <c r="J107" s="54" t="n"/>
      <c r="K107" s="54" t="n"/>
    </row>
    <row r="108" ht="32" customHeight="1" s="32">
      <c r="A108" s="54" t="n">
        <v>97</v>
      </c>
      <c r="B108" s="40" t="inlineStr">
        <is>
          <t>移行要件</t>
        </is>
      </c>
      <c r="C108" s="40" t="inlineStr">
        <is>
          <t>並行運用期間</t>
        </is>
      </c>
      <c r="D108" s="40" t="inlineStr">
        <is>
          <t>指標:安全パトロール実施率 | 算出式:実施回数÷計画回数 | 目標値（例）:100%</t>
        </is>
      </c>
      <c r="E108" s="54" t="n"/>
      <c r="F108" s="43" t="n"/>
      <c r="G108" s="43" t="n"/>
      <c r="H108" s="54" t="n"/>
      <c r="I108" s="54" t="n"/>
      <c r="J108" s="54" t="n"/>
      <c r="K108" s="54" t="n"/>
    </row>
    <row r="109" ht="32" customHeight="1" s="32">
      <c r="A109" s="54" t="n">
        <v>98</v>
      </c>
      <c r="B109" s="40" t="inlineStr">
        <is>
          <t>移行要件</t>
        </is>
      </c>
      <c r="C109" s="40" t="inlineStr">
        <is>
          <t>並行運用期間</t>
        </is>
      </c>
      <c r="D109" s="40" t="inlineStr">
        <is>
          <t>区分:E（環境） | 指標:CO2排出量（Scope1/2/3） | 目標:SBTi目標準拠</t>
        </is>
      </c>
      <c r="E109" s="54" t="n"/>
      <c r="F109" s="43" t="n"/>
      <c r="G109" s="43" t="n"/>
      <c r="H109" s="54" t="n"/>
      <c r="I109" s="54" t="n"/>
      <c r="J109" s="54" t="n"/>
      <c r="K109" s="54" t="n"/>
    </row>
    <row r="110" ht="16" customHeight="1" s="32">
      <c r="A110" s="54" t="n">
        <v>99</v>
      </c>
      <c r="B110" s="40" t="inlineStr">
        <is>
          <t>移行要件</t>
        </is>
      </c>
      <c r="C110" s="40" t="inlineStr">
        <is>
          <t>並行運用期間</t>
        </is>
      </c>
      <c r="D110" s="40" t="inlineStr">
        <is>
          <t>区分:E（環境） | 指標:産業廃棄物リサイクル率 | 目標:95%以上</t>
        </is>
      </c>
      <c r="E110" s="54" t="n"/>
      <c r="F110" s="43" t="n"/>
      <c r="G110" s="43" t="n"/>
      <c r="H110" s="54" t="n"/>
      <c r="I110" s="54" t="n"/>
      <c r="J110" s="54" t="n"/>
      <c r="K110" s="54" t="n"/>
    </row>
    <row r="111" ht="16" customHeight="1" s="32">
      <c r="A111" s="54" t="n">
        <v>100</v>
      </c>
      <c r="B111" s="40" t="inlineStr">
        <is>
          <t>移行要件</t>
        </is>
      </c>
      <c r="C111" s="40" t="inlineStr">
        <is>
          <t>並行運用期間</t>
        </is>
      </c>
      <c r="D111" s="40" t="inlineStr">
        <is>
          <t>区分:S（社会） | 指標:女性管理職比率 | 目標:中計目標値</t>
        </is>
      </c>
      <c r="E111" s="54" t="n"/>
      <c r="F111" s="43" t="n"/>
      <c r="G111" s="43" t="n"/>
      <c r="H111" s="54" t="n"/>
      <c r="I111" s="54" t="n"/>
      <c r="J111" s="54" t="n"/>
      <c r="K111" s="54" t="n"/>
    </row>
    <row r="112" ht="16" customHeight="1" s="32">
      <c r="A112" s="54" t="n">
        <v>101</v>
      </c>
      <c r="B112" s="40" t="inlineStr">
        <is>
          <t>移行要件</t>
        </is>
      </c>
      <c r="C112" s="40" t="inlineStr">
        <is>
          <t>並行運用期間</t>
        </is>
      </c>
      <c r="D112" s="40" t="inlineStr">
        <is>
          <t>区分:S（社会） | 指標:有給取得率 | 目標:70%以上</t>
        </is>
      </c>
      <c r="E112" s="54" t="n"/>
      <c r="F112" s="43" t="n"/>
      <c r="G112" s="43" t="n"/>
      <c r="H112" s="54" t="n"/>
      <c r="I112" s="54" t="n"/>
      <c r="J112" s="54" t="n"/>
      <c r="K112" s="54" t="n"/>
    </row>
    <row r="113" ht="16" customHeight="1" s="32">
      <c r="A113" s="54" t="n">
        <v>102</v>
      </c>
      <c r="B113" s="40" t="inlineStr">
        <is>
          <t>移行要件</t>
        </is>
      </c>
      <c r="C113" s="40" t="inlineStr">
        <is>
          <t>並行運用期間</t>
        </is>
      </c>
      <c r="D113" s="40" t="inlineStr">
        <is>
          <t>区分:S（社会） | 指標:労災度数率 | 目標:0.50以下</t>
        </is>
      </c>
      <c r="E113" s="54" t="n"/>
      <c r="F113" s="43" t="n"/>
      <c r="G113" s="43" t="n"/>
      <c r="H113" s="54" t="n"/>
      <c r="I113" s="54" t="n"/>
      <c r="J113" s="54" t="n"/>
      <c r="K113" s="54" t="n"/>
    </row>
    <row r="114" ht="32" customHeight="1" s="32">
      <c r="A114" s="54" t="n">
        <v>103</v>
      </c>
      <c r="B114" s="40" t="inlineStr">
        <is>
          <t>移行要件</t>
        </is>
      </c>
      <c r="C114" s="40" t="inlineStr">
        <is>
          <t>並行運用期間</t>
        </is>
      </c>
      <c r="D114" s="40" t="inlineStr">
        <is>
          <t>区分:G（ガバナンス） | 指標:コンプライアンス研修受講率 | 目標:100%</t>
        </is>
      </c>
      <c r="E114" s="54" t="n"/>
      <c r="F114" s="43" t="n"/>
      <c r="G114" s="43" t="n"/>
      <c r="H114" s="54" t="n"/>
      <c r="I114" s="54" t="n"/>
      <c r="J114" s="54" t="n"/>
      <c r="K114" s="54" t="n"/>
    </row>
    <row r="115" ht="32" customHeight="1" s="32">
      <c r="A115" s="54" t="n">
        <v>104</v>
      </c>
      <c r="B115" s="40" t="inlineStr">
        <is>
          <t>移行要件</t>
        </is>
      </c>
      <c r="C115" s="40" t="inlineStr">
        <is>
          <t>並行運用期間</t>
        </is>
      </c>
      <c r="D115" s="40" t="inlineStr">
        <is>
          <t>連携先:営業本部CRM | 連携データ:受注データ・案件データ | 方向:← | 方式:REST API</t>
        </is>
      </c>
      <c r="E115" s="54" t="n"/>
      <c r="F115" s="43" t="n"/>
      <c r="G115" s="43" t="n"/>
      <c r="H115" s="54" t="n"/>
      <c r="I115" s="54" t="n"/>
      <c r="J115" s="54" t="n"/>
      <c r="K115" s="54" t="n"/>
    </row>
    <row r="116" ht="32" customHeight="1" s="32">
      <c r="A116" s="54" t="n">
        <v>105</v>
      </c>
      <c r="B116" s="40" t="inlineStr">
        <is>
          <t>移行要件</t>
        </is>
      </c>
      <c r="C116" s="40" t="inlineStr">
        <is>
          <t>並行運用期間</t>
        </is>
      </c>
      <c r="D116" s="40" t="inlineStr">
        <is>
          <t>連携先:施工本部管理システム | 連携データ:工事進捗・原価・出来高 | 方向:← | 方式:REST API</t>
        </is>
      </c>
      <c r="E116" s="54" t="n"/>
      <c r="F116" s="43" t="n"/>
      <c r="G116" s="43" t="n"/>
      <c r="H116" s="54" t="n"/>
      <c r="I116" s="54" t="n"/>
      <c r="J116" s="54" t="n"/>
      <c r="K116" s="54" t="n"/>
    </row>
    <row r="117" ht="32" customHeight="1" s="32">
      <c r="A117" s="54" t="n">
        <v>106</v>
      </c>
      <c r="B117" s="40" t="inlineStr">
        <is>
          <t>移行要件</t>
        </is>
      </c>
      <c r="C117" s="40" t="inlineStr">
        <is>
          <t>並行運用期間</t>
        </is>
      </c>
      <c r="D117" s="40" t="inlineStr">
        <is>
          <t>連携先:安全品質システム | 連携データ:安全指標・品質指標 | 方向:← | 方式:REST API</t>
        </is>
      </c>
      <c r="E117" s="54" t="n"/>
      <c r="F117" s="43" t="n"/>
      <c r="G117" s="43" t="n"/>
      <c r="H117" s="54" t="n"/>
      <c r="I117" s="54" t="n"/>
      <c r="J117" s="54" t="n"/>
      <c r="K117" s="54" t="n"/>
    </row>
    <row r="118" ht="32" customHeight="1" s="32">
      <c r="A118" s="54" t="n">
        <v>107</v>
      </c>
      <c r="B118" s="40" t="inlineStr">
        <is>
          <t>移行要件</t>
        </is>
      </c>
      <c r="C118" s="40" t="inlineStr">
        <is>
          <t>並行運用期間</t>
        </is>
      </c>
      <c r="D118" s="40" t="inlineStr">
        <is>
          <t>連携先:管理本部システム | 連携データ:人事・財務データ | 方向:← | 方式:REST API</t>
        </is>
      </c>
      <c r="E118" s="54" t="n"/>
      <c r="F118" s="43" t="n"/>
      <c r="G118" s="43" t="n"/>
      <c r="H118" s="54" t="n"/>
      <c r="I118" s="54" t="n"/>
      <c r="J118" s="54" t="n"/>
      <c r="K118" s="54" t="n"/>
    </row>
    <row r="119" ht="32" customHeight="1" s="32">
      <c r="A119" s="54" t="n">
        <v>108</v>
      </c>
      <c r="B119" s="40" t="inlineStr">
        <is>
          <t>移行要件</t>
        </is>
      </c>
      <c r="C119" s="40" t="inlineStr">
        <is>
          <t>並行運用期間</t>
        </is>
      </c>
      <c r="D119" s="40" t="inlineStr">
        <is>
          <t>連携先:購買システム | 連携データ:資材コスト・調達データ | 方向:← | 方式:REST API</t>
        </is>
      </c>
      <c r="E119" s="54" t="n"/>
      <c r="F119" s="43" t="n"/>
      <c r="G119" s="43" t="n"/>
      <c r="H119" s="54" t="n"/>
      <c r="I119" s="54" t="n"/>
      <c r="J119" s="54" t="n"/>
      <c r="K119" s="54" t="n"/>
    </row>
    <row r="120" ht="32" customHeight="1" s="32">
      <c r="A120" s="54" t="n">
        <v>109</v>
      </c>
      <c r="B120" s="40" t="inlineStr">
        <is>
          <t>移行要件</t>
        </is>
      </c>
      <c r="C120" s="40" t="inlineStr">
        <is>
          <t>並行運用期間</t>
        </is>
      </c>
      <c r="D120" s="40" t="inlineStr">
        <is>
          <t>連携先:船舶管理システム | 連携データ:稼働データ | 方向:← | 方式:REST API</t>
        </is>
      </c>
      <c r="E120" s="54" t="n"/>
      <c r="F120" s="43" t="n"/>
      <c r="G120" s="43" t="n"/>
      <c r="H120" s="54" t="n"/>
      <c r="I120" s="54" t="n"/>
      <c r="J120" s="54" t="n"/>
      <c r="K120" s="54" t="n"/>
    </row>
    <row r="121" ht="32" customHeight="1" s="32">
      <c r="A121" s="54" t="n">
        <v>110</v>
      </c>
      <c r="B121" s="40" t="inlineStr">
        <is>
          <t>移行要件</t>
        </is>
      </c>
      <c r="C121" s="40" t="inlineStr">
        <is>
          <t>並行運用期間</t>
        </is>
      </c>
      <c r="D121" s="40" t="inlineStr">
        <is>
          <t>連携先:SharePoint Online | 連携データ:経営会議資料 | 方向:↔ | 方式:Microsoft Graph API</t>
        </is>
      </c>
      <c r="E121" s="54" t="n"/>
      <c r="F121" s="43" t="n"/>
      <c r="G121" s="43" t="n"/>
      <c r="H121" s="54" t="n"/>
      <c r="I121" s="54" t="n"/>
      <c r="J121" s="54" t="n"/>
      <c r="K121" s="54" t="n"/>
    </row>
    <row r="122" ht="32" customHeight="1" s="32">
      <c r="A122" s="54" t="n">
        <v>111</v>
      </c>
      <c r="B122" s="40" t="inlineStr">
        <is>
          <t>移行要件</t>
        </is>
      </c>
      <c r="C122" s="40" t="inlineStr">
        <is>
          <t>並行運用期間</t>
        </is>
      </c>
      <c r="D122" s="40" t="inlineStr">
        <is>
          <t>連携先:統合データレイク | 連携データ:全社統合分析データ | 方向:← | 方式:ETL/API</t>
        </is>
      </c>
      <c r="E122" s="54" t="n"/>
      <c r="F122" s="43" t="n"/>
      <c r="G122" s="43" t="n"/>
      <c r="H122" s="54" t="n"/>
      <c r="I122" s="54" t="n"/>
      <c r="J122" s="54" t="n"/>
      <c r="K122" s="54" t="n"/>
    </row>
    <row r="123" ht="32" customHeight="1" s="32">
      <c r="A123" s="54" t="n">
        <v>112</v>
      </c>
      <c r="B123" s="40" t="inlineStr">
        <is>
          <t>移行要件</t>
        </is>
      </c>
      <c r="C123" s="40" t="inlineStr">
        <is>
          <t>並行運用期間</t>
        </is>
      </c>
      <c r="D123" s="40" t="inlineStr">
        <is>
          <t>帳票名:月次経営速報 | 頻度:毎月5営業日 | 形式:PDF/PPTX | 配信先:経営層</t>
        </is>
      </c>
      <c r="E123" s="54" t="n"/>
      <c r="F123" s="43" t="n"/>
      <c r="G123" s="43" t="n"/>
      <c r="H123" s="54" t="n"/>
      <c r="I123" s="54" t="n"/>
      <c r="J123" s="54" t="n"/>
      <c r="K123" s="54" t="n"/>
    </row>
    <row r="124" ht="32" customHeight="1" s="32">
      <c r="A124" s="54" t="n">
        <v>113</v>
      </c>
      <c r="B124" s="40" t="inlineStr">
        <is>
          <t>移行要件</t>
        </is>
      </c>
      <c r="C124" s="40" t="inlineStr">
        <is>
          <t>並行運用期間</t>
        </is>
      </c>
      <c r="D124" s="40" t="inlineStr">
        <is>
          <t>帳票名:受注速報 | 頻度:毎週月曜 | 形式:PDF | 配信先:営業本部・経営企画</t>
        </is>
      </c>
      <c r="E124" s="54" t="n"/>
      <c r="F124" s="43" t="n"/>
      <c r="G124" s="43" t="n"/>
      <c r="H124" s="54" t="n"/>
      <c r="I124" s="54" t="n"/>
      <c r="J124" s="54" t="n"/>
      <c r="K124" s="54" t="n"/>
    </row>
    <row r="125" ht="32" customHeight="1" s="32">
      <c r="A125" s="54" t="n">
        <v>114</v>
      </c>
      <c r="B125" s="40" t="inlineStr">
        <is>
          <t>移行要件</t>
        </is>
      </c>
      <c r="C125" s="40" t="inlineStr">
        <is>
          <t>並行運用期間</t>
        </is>
      </c>
      <c r="D125" s="40" t="inlineStr">
        <is>
          <t>帳票名:安全月報 | 頻度:毎月10日 | 形式:PDF | 配信先:経営層・安全品質本部</t>
        </is>
      </c>
      <c r="E125" s="54" t="n"/>
      <c r="F125" s="43" t="n"/>
      <c r="G125" s="43" t="n"/>
      <c r="H125" s="54" t="n"/>
      <c r="I125" s="54" t="n"/>
      <c r="J125" s="54" t="n"/>
      <c r="K125" s="54" t="n"/>
    </row>
    <row r="126" ht="32" customHeight="1" s="32">
      <c r="A126" s="54" t="n">
        <v>115</v>
      </c>
      <c r="B126" s="40" t="inlineStr">
        <is>
          <t>移行要件</t>
        </is>
      </c>
      <c r="C126" s="40" t="inlineStr">
        <is>
          <t>並行運用期間</t>
        </is>
      </c>
      <c r="D126" s="40" t="inlineStr">
        <is>
          <t>帳票名:KPIスコアカード | 頻度:四半期末 | 形式:PPTX | 配信先:取締役会</t>
        </is>
      </c>
      <c r="E126" s="54" t="n"/>
      <c r="F126" s="43" t="n"/>
      <c r="G126" s="43" t="n"/>
      <c r="H126" s="54" t="n"/>
      <c r="I126" s="54" t="n"/>
      <c r="J126" s="54" t="n"/>
      <c r="K126" s="54" t="n"/>
    </row>
    <row r="127" ht="16" customHeight="1" s="32">
      <c r="A127" s="54" t="n">
        <v>116</v>
      </c>
      <c r="B127" s="40" t="inlineStr">
        <is>
          <t>移行要件</t>
        </is>
      </c>
      <c r="C127" s="40" t="inlineStr">
        <is>
          <t>並行運用期間</t>
        </is>
      </c>
      <c r="D127" s="40" t="inlineStr">
        <is>
          <t>ロール:代表取締役 | 参照範囲:全社全データ | 操作権限:参照のみ</t>
        </is>
      </c>
      <c r="E127" s="54" t="n"/>
      <c r="F127" s="43" t="n"/>
      <c r="G127" s="43" t="n"/>
      <c r="H127" s="54" t="n"/>
      <c r="I127" s="54" t="n"/>
      <c r="J127" s="54" t="n"/>
      <c r="K127" s="54" t="n"/>
    </row>
    <row r="128" ht="32" customHeight="1" s="32">
      <c r="A128" s="54" t="n">
        <v>117</v>
      </c>
      <c r="B128" s="40" t="inlineStr">
        <is>
          <t>移行要件</t>
        </is>
      </c>
      <c r="C128" s="40" t="inlineStr">
        <is>
          <t>並行運用期間</t>
        </is>
      </c>
      <c r="D128" s="40" t="inlineStr">
        <is>
          <t>ロール:取締役・執行役員 | 参照範囲:全社全データ | 操作権限:参照のみ</t>
        </is>
      </c>
      <c r="E128" s="54" t="n"/>
      <c r="F128" s="43" t="n"/>
      <c r="G128" s="43" t="n"/>
      <c r="H128" s="54" t="n"/>
      <c r="I128" s="54" t="n"/>
      <c r="J128" s="54" t="n"/>
      <c r="K128" s="54" t="n"/>
    </row>
    <row r="129" ht="32" customHeight="1" s="32">
      <c r="A129" s="54" t="n">
        <v>118</v>
      </c>
      <c r="B129" s="40" t="inlineStr">
        <is>
          <t>移行要件</t>
        </is>
      </c>
      <c r="C129" s="40" t="inlineStr">
        <is>
          <t>並行運用期間</t>
        </is>
      </c>
      <c r="D129" s="40" t="inlineStr">
        <is>
          <t>ロール:経営企画部長 | 参照範囲:全社全データ | 操作権限:参照＋KPI設定＋帳票設定</t>
        </is>
      </c>
      <c r="E129" s="54" t="n"/>
      <c r="F129" s="43" t="n"/>
      <c r="G129" s="43" t="n"/>
      <c r="H129" s="54" t="n"/>
      <c r="I129" s="54" t="n"/>
      <c r="J129" s="54" t="n"/>
      <c r="K129" s="54" t="n"/>
    </row>
    <row r="130" ht="32" customHeight="1" s="32">
      <c r="A130" s="54" t="n">
        <v>119</v>
      </c>
      <c r="B130" s="40" t="inlineStr">
        <is>
          <t>移行要件</t>
        </is>
      </c>
      <c r="C130" s="40" t="inlineStr">
        <is>
          <t>並行運用期間</t>
        </is>
      </c>
      <c r="D130" s="40" t="inlineStr">
        <is>
          <t>ロール:経営企画担当 | 参照範囲:全社集計データ | 操作権限:参照＋帳票作成</t>
        </is>
      </c>
      <c r="E130" s="54" t="n"/>
      <c r="F130" s="43" t="n"/>
      <c r="G130" s="43" t="n"/>
      <c r="H130" s="54" t="n"/>
      <c r="I130" s="54" t="n"/>
      <c r="J130" s="54" t="n"/>
      <c r="K130" s="54" t="n"/>
    </row>
    <row r="131" ht="32" customHeight="1" s="32">
      <c r="A131" s="54" t="n">
        <v>120</v>
      </c>
      <c r="B131" s="40" t="inlineStr">
        <is>
          <t>移行要件</t>
        </is>
      </c>
      <c r="C131" s="40" t="inlineStr">
        <is>
          <t>並行運用期間</t>
        </is>
      </c>
      <c r="D131" s="40" t="inlineStr">
        <is>
          <t>ロール:部門長 | 参照範囲:自部門データ＋全社サマリー | 操作権限:参照のみ</t>
        </is>
      </c>
      <c r="E131" s="54" t="n"/>
      <c r="F131" s="43" t="n"/>
      <c r="G131" s="43" t="n"/>
      <c r="H131" s="54" t="n"/>
      <c r="I131" s="54" t="n"/>
      <c r="J131" s="54" t="n"/>
      <c r="K131" s="54" t="n"/>
    </row>
    <row r="132" ht="16" customHeight="1" s="32">
      <c r="A132" s="55" t="n"/>
      <c r="B132" s="56" t="n"/>
      <c r="C132" s="56" t="n"/>
      <c r="D132" s="56" t="n"/>
      <c r="E132" s="55" t="n"/>
      <c r="F132" s="56" t="n"/>
      <c r="G132" s="56" t="n"/>
      <c r="H132" s="55" t="n"/>
      <c r="I132" s="55" t="n"/>
      <c r="J132" s="55" t="n"/>
      <c r="K132" s="55" t="n"/>
    </row>
    <row r="133" ht="48" customHeight="1" s="32">
      <c r="A133" s="57" t="inlineStr">
        <is>
          <t>■ 新規追加業務（以下に追記してください）</t>
        </is>
      </c>
      <c r="B133" s="52" t="n"/>
      <c r="C133" s="52" t="n"/>
      <c r="D133" s="52" t="n"/>
      <c r="E133" s="53" t="n"/>
      <c r="F133" s="52" t="n"/>
      <c r="G133" s="52" t="n"/>
      <c r="H133" s="53" t="n"/>
      <c r="I133" s="53" t="n"/>
      <c r="J133" s="53" t="n"/>
      <c r="K133" s="53" t="n"/>
    </row>
    <row r="134" ht="16" customHeight="1" s="32">
      <c r="A134" s="58" t="inlineStr">
        <is>
          <t>追1</t>
        </is>
      </c>
      <c r="B134" s="59" t="n"/>
      <c r="C134" s="59" t="n"/>
      <c r="D134" s="59" t="n"/>
      <c r="E134" s="60" t="inlineStr">
        <is>
          <t>追加</t>
        </is>
      </c>
      <c r="F134" s="59" t="n"/>
      <c r="G134" s="59" t="n"/>
      <c r="H134" s="61" t="n"/>
      <c r="I134" s="61" t="n"/>
      <c r="J134" s="61" t="n"/>
      <c r="K134" s="61" t="n"/>
    </row>
    <row r="135" ht="16" customHeight="1" s="32">
      <c r="A135" s="58" t="inlineStr">
        <is>
          <t>追2</t>
        </is>
      </c>
      <c r="B135" s="59" t="n"/>
      <c r="C135" s="59" t="n"/>
      <c r="D135" s="59" t="n"/>
      <c r="E135" s="60" t="inlineStr">
        <is>
          <t>追加</t>
        </is>
      </c>
      <c r="F135" s="59" t="n"/>
      <c r="G135" s="59" t="n"/>
      <c r="H135" s="61" t="n"/>
      <c r="I135" s="61" t="n"/>
      <c r="J135" s="61" t="n"/>
      <c r="K135" s="61" t="n"/>
    </row>
    <row r="136" ht="16" customHeight="1" s="32">
      <c r="A136" s="58" t="inlineStr">
        <is>
          <t>追3</t>
        </is>
      </c>
      <c r="B136" s="59" t="n"/>
      <c r="C136" s="59" t="n"/>
      <c r="D136" s="59" t="n"/>
      <c r="E136" s="60" t="inlineStr">
        <is>
          <t>追加</t>
        </is>
      </c>
      <c r="F136" s="59" t="n"/>
      <c r="G136" s="59" t="n"/>
      <c r="H136" s="61" t="n"/>
      <c r="I136" s="61" t="n"/>
      <c r="J136" s="61" t="n"/>
      <c r="K136" s="61" t="n"/>
    </row>
    <row r="137" ht="16" customHeight="1" s="32">
      <c r="A137" s="58" t="inlineStr">
        <is>
          <t>追4</t>
        </is>
      </c>
      <c r="B137" s="59" t="n"/>
      <c r="C137" s="59" t="n"/>
      <c r="D137" s="59" t="n"/>
      <c r="E137" s="60" t="inlineStr">
        <is>
          <t>追加</t>
        </is>
      </c>
      <c r="F137" s="59" t="n"/>
      <c r="G137" s="59" t="n"/>
      <c r="H137" s="61" t="n"/>
      <c r="I137" s="61" t="n"/>
      <c r="J137" s="61" t="n"/>
      <c r="K137" s="61" t="n"/>
    </row>
    <row r="138" ht="16" customHeight="1" s="32">
      <c r="A138" s="58" t="inlineStr">
        <is>
          <t>追5</t>
        </is>
      </c>
      <c r="B138" s="59" t="n"/>
      <c r="C138" s="59" t="n"/>
      <c r="D138" s="59" t="n"/>
      <c r="E138" s="60" t="inlineStr">
        <is>
          <t>追加</t>
        </is>
      </c>
      <c r="F138" s="59" t="n"/>
      <c r="G138" s="59" t="n"/>
      <c r="H138" s="61" t="n"/>
      <c r="I138" s="61" t="n"/>
      <c r="J138" s="61" t="n"/>
      <c r="K138" s="61" t="n"/>
    </row>
    <row r="139" ht="16" customHeight="1" s="32">
      <c r="A139" s="58" t="inlineStr">
        <is>
          <t>追6</t>
        </is>
      </c>
      <c r="B139" s="59" t="n"/>
      <c r="C139" s="59" t="n"/>
      <c r="D139" s="59" t="n"/>
      <c r="E139" s="60" t="inlineStr">
        <is>
          <t>追加</t>
        </is>
      </c>
      <c r="F139" s="59" t="n"/>
      <c r="G139" s="59" t="n"/>
      <c r="H139" s="61" t="n"/>
      <c r="I139" s="61" t="n"/>
      <c r="J139" s="61" t="n"/>
      <c r="K139" s="61" t="n"/>
    </row>
    <row r="140" ht="16" customHeight="1" s="32">
      <c r="A140" s="58" t="inlineStr">
        <is>
          <t>追7</t>
        </is>
      </c>
      <c r="B140" s="59" t="n"/>
      <c r="C140" s="59" t="n"/>
      <c r="D140" s="59" t="n"/>
      <c r="E140" s="60" t="inlineStr">
        <is>
          <t>追加</t>
        </is>
      </c>
      <c r="F140" s="59" t="n"/>
      <c r="G140" s="59" t="n"/>
      <c r="H140" s="61" t="n"/>
      <c r="I140" s="61" t="n"/>
      <c r="J140" s="61" t="n"/>
      <c r="K140" s="61" t="n"/>
    </row>
    <row r="141" ht="16" customHeight="1" s="32">
      <c r="A141" s="58" t="inlineStr">
        <is>
          <t>追8</t>
        </is>
      </c>
      <c r="B141" s="59" t="n"/>
      <c r="C141" s="59" t="n"/>
      <c r="D141" s="59" t="n"/>
      <c r="E141" s="60" t="inlineStr">
        <is>
          <t>追加</t>
        </is>
      </c>
      <c r="F141" s="59" t="n"/>
      <c r="G141" s="59" t="n"/>
      <c r="H141" s="61" t="n"/>
      <c r="I141" s="61" t="n"/>
      <c r="J141" s="61" t="n"/>
      <c r="K141" s="61" t="n"/>
    </row>
    <row r="142" ht="16" customHeight="1" s="32">
      <c r="A142" s="58" t="inlineStr">
        <is>
          <t>追9</t>
        </is>
      </c>
      <c r="B142" s="59" t="n"/>
      <c r="C142" s="59" t="n"/>
      <c r="D142" s="59" t="n"/>
      <c r="E142" s="60" t="inlineStr">
        <is>
          <t>追加</t>
        </is>
      </c>
      <c r="F142" s="59" t="n"/>
      <c r="G142" s="59" t="n"/>
      <c r="H142" s="61" t="n"/>
      <c r="I142" s="61" t="n"/>
      <c r="J142" s="61" t="n"/>
      <c r="K142" s="61" t="n"/>
    </row>
    <row r="143" ht="16" customHeight="1" s="32">
      <c r="A143" s="58" t="inlineStr">
        <is>
          <t>追10</t>
        </is>
      </c>
      <c r="B143" s="59" t="n"/>
      <c r="C143" s="59" t="n"/>
      <c r="D143" s="59" t="n"/>
      <c r="E143" s="60" t="inlineStr">
        <is>
          <t>追加</t>
        </is>
      </c>
      <c r="F143" s="59" t="n"/>
      <c r="G143" s="59" t="n"/>
      <c r="H143" s="61" t="n"/>
      <c r="I143" s="61" t="n"/>
      <c r="J143" s="61" t="n"/>
      <c r="K143" s="61" t="n"/>
    </row>
    <row r="144" ht="16" customHeight="1" s="32">
      <c r="A144" s="55" t="n"/>
      <c r="B144" s="56" t="n"/>
      <c r="C144" s="56" t="n"/>
      <c r="D144" s="56" t="n"/>
      <c r="E144" s="55" t="n"/>
      <c r="F144" s="56" t="n"/>
      <c r="G144" s="56" t="n"/>
      <c r="H144" s="55" t="n"/>
      <c r="I144" s="55" t="n"/>
      <c r="J144" s="55" t="n"/>
      <c r="K144" s="55" t="n"/>
    </row>
    <row r="145" ht="16" customHeight="1" s="32">
      <c r="A145" s="55" t="n"/>
      <c r="B145" s="56" t="n"/>
      <c r="C145" s="56" t="n"/>
      <c r="D145" s="56" t="n"/>
      <c r="E145" s="55" t="n"/>
      <c r="F145" s="56" t="n"/>
      <c r="G145" s="56" t="n"/>
      <c r="H145" s="55" t="n"/>
      <c r="I145" s="55" t="n"/>
      <c r="J145" s="55" t="n"/>
      <c r="K145" s="55" t="n"/>
    </row>
    <row r="146" ht="16" customHeight="1" s="32">
      <c r="A146" s="62" t="inlineStr">
        <is>
          <t>【集計】</t>
        </is>
      </c>
      <c r="B146" s="56" t="n"/>
      <c r="C146" s="56" t="n"/>
      <c r="D146" s="56" t="n"/>
      <c r="E146" s="55" t="n"/>
      <c r="F146" s="56" t="n"/>
      <c r="G146" s="56" t="n"/>
      <c r="H146" s="55" t="n"/>
      <c r="I146" s="55" t="n"/>
      <c r="J146" s="55" t="n"/>
      <c r="K146" s="55" t="n"/>
    </row>
    <row r="147" ht="32" customHeight="1" s="32">
      <c r="A147" s="63" t="inlineStr">
        <is>
          <t>OK件数</t>
        </is>
      </c>
      <c r="B147" s="64">
        <f>COUNTIF(E6:E500,"OK")</f>
        <v/>
      </c>
      <c r="C147" s="56" t="n"/>
      <c r="D147" s="56" t="n"/>
      <c r="E147" s="55" t="n"/>
      <c r="F147" s="56" t="n"/>
      <c r="G147" s="56" t="n"/>
      <c r="H147" s="55" t="n"/>
      <c r="I147" s="55" t="n"/>
      <c r="J147" s="55" t="n"/>
      <c r="K147" s="55" t="n"/>
    </row>
    <row r="148" ht="32" customHeight="1" s="32">
      <c r="A148" s="63" t="inlineStr">
        <is>
          <t>NG件数</t>
        </is>
      </c>
      <c r="B148" s="64">
        <f>COUNTIF(E6:E500,"NG")</f>
        <v/>
      </c>
      <c r="C148" s="56" t="n"/>
      <c r="D148" s="56" t="n"/>
      <c r="E148" s="55" t="n"/>
      <c r="F148" s="56" t="n"/>
      <c r="G148" s="56" t="n"/>
      <c r="H148" s="55" t="n"/>
      <c r="I148" s="55" t="n"/>
      <c r="J148" s="55" t="n"/>
      <c r="K148" s="55" t="n"/>
    </row>
    <row r="149" ht="32" customHeight="1" s="32">
      <c r="A149" s="62" t="inlineStr">
        <is>
          <t>追加件数</t>
        </is>
      </c>
      <c r="B149" s="64">
        <f>COUNTIF(E6:E500,"追加")</f>
        <v/>
      </c>
      <c r="C149" s="56" t="n"/>
      <c r="D149" s="56" t="n"/>
      <c r="E149" s="55" t="n"/>
      <c r="F149" s="56" t="n"/>
      <c r="G149" s="56" t="n"/>
      <c r="H149" s="55" t="n"/>
      <c r="I149" s="55" t="n"/>
      <c r="J149" s="55" t="n"/>
      <c r="K149" s="55" t="n"/>
    </row>
    <row r="150" ht="32" customHeight="1" s="32">
      <c r="A150" s="62" t="inlineStr">
        <is>
          <t>削除件数</t>
        </is>
      </c>
      <c r="B150" s="64">
        <f>COUNTIF(E6:E500,"削除")</f>
        <v/>
      </c>
      <c r="C150" s="56" t="n"/>
      <c r="D150" s="56" t="n"/>
      <c r="E150" s="55" t="n"/>
      <c r="F150" s="56" t="n"/>
      <c r="G150" s="56" t="n"/>
      <c r="H150" s="55" t="n"/>
      <c r="I150" s="55" t="n"/>
      <c r="J150" s="55" t="n"/>
      <c r="K150" s="55" t="n"/>
    </row>
  </sheetData>
  <autoFilter ref="A5:K145"/>
  <mergeCells count="11">
    <mergeCell ref="A6:K6"/>
    <mergeCell ref="A12:K12"/>
    <mergeCell ref="A62:K62"/>
    <mergeCell ref="A3:K3"/>
    <mergeCell ref="A17:K17"/>
    <mergeCell ref="A2:K2"/>
    <mergeCell ref="A133:K133"/>
    <mergeCell ref="A1:K1"/>
    <mergeCell ref="A75:K75"/>
    <mergeCell ref="A146:E146"/>
    <mergeCell ref="A67:K67"/>
  </mergeCells>
  <dataValidations count="2">
    <dataValidation sqref="E7:E11 E13:E16 E18:E61 E63:E66 E68:E74 E76:E131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16 H18:H61 H63:H66 H68:H74 H76:H131 H134:H143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経営企画部</t>
        </is>
      </c>
    </row>
    <row r="2" ht="11.9" customHeight="1" s="32">
      <c r="A2" s="34" t="inlineStr">
        <is>
          <t>対象業務項目数: 120件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業務チェック確認!B147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業務チェック確認!B148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業務チェック確認!B149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業務チェック確認!B150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業務チェック確認!B151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2026-05-16T01:02:07Z</dcterms:created>
  <dcterms:modified xmlns:dcterms="http://purl.org/dc/terms/" xmlns:xsi="http://www.w3.org/2001/XMLSchema-instance" xsi:type="dcterms:W3CDTF">2026-05-16T01:30:14Z</dcterms:modified>
  <cp:revision>0</cp:revision>
</cp:coreProperties>
</file>