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業務内容一覧" sheetId="1" state="visible" r:id="rId1"/>
    <sheet xmlns:r="http://schemas.openxmlformats.org/officeDocument/2006/relationships" name="業務チェック確認" sheetId="2" state="visible" r:id="rId2"/>
    <sheet xmlns:r="http://schemas.openxmlformats.org/officeDocument/2006/relationships" name="確認サマリー" sheetId="3" state="visible" r:id="rId3"/>
  </sheets>
  <definedNames>
    <definedName name="_xlnm._FilterDatabase" localSheetId="0" hidden="1">'業務内容一覧'!$A$4:$G$286</definedName>
    <definedName name="_xlnm._FilterDatabase" localSheetId="1" hidden="1">'業務チェック確認'!$A$5:$K$301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0F3460"/>
      <sz val="14"/>
    </font>
    <font>
      <name val="DejaVu Sans"/>
      <family val="2"/>
      <color rgb="FF555555"/>
      <sz val="9"/>
    </font>
    <font>
      <name val="Meiryo"/>
      <charset val="1"/>
      <family val="0"/>
      <color rgb="FF555555"/>
      <sz val="9"/>
    </font>
    <font>
      <name val="Meiryo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16213E"/>
      <sz val="10"/>
    </font>
    <font>
      <name val="Meiryo"/>
      <charset val="1"/>
      <family val="0"/>
      <sz val="10"/>
    </font>
    <font>
      <name val="DejaVu Sans"/>
      <family val="2"/>
      <sz val="10"/>
    </font>
    <font>
      <name val="Meiryo"/>
      <charset val="1"/>
      <family val="0"/>
      <b val="1"/>
      <color rgb="FF16213E"/>
      <sz val="10"/>
    </font>
    <font>
      <name val="DejaVu Sans"/>
      <family val="2"/>
      <b val="1"/>
      <sz val="10"/>
    </font>
    <font>
      <name val="Meiryo"/>
      <charset val="1"/>
      <family val="0"/>
      <b val="1"/>
      <sz val="10"/>
    </font>
    <font>
      <name val="DejaVu Sans"/>
      <family val="2"/>
      <b val="1"/>
      <color rgb="FFE94560"/>
      <sz val="14"/>
    </font>
    <font>
      <name val="DejaVu Sans"/>
      <family val="2"/>
      <color rgb="FFE94560"/>
      <sz val="9"/>
    </font>
    <font>
      <name val="DejaVu Sans"/>
      <family val="2"/>
      <i val="1"/>
      <color rgb="FF333333"/>
      <sz val="9"/>
    </font>
    <font>
      <name val="Meiryo"/>
      <charset val="1"/>
      <family val="0"/>
      <i val="1"/>
      <color rgb="FF333333"/>
      <sz val="9"/>
    </font>
    <font>
      <name val="Meiryo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family val="2"/>
      <b val="1"/>
      <color rgb="FFE94560"/>
      <sz val="10"/>
    </font>
    <font>
      <name val="DejaVu Sans"/>
      <family val="2"/>
      <color rgb="FFE94560"/>
      <sz val="10"/>
    </font>
    <font>
      <name val="DejaVu Sans"/>
      <family val="2"/>
      <b val="1"/>
      <color rgb="FF533483"/>
      <sz val="14"/>
    </font>
  </fonts>
  <fills count="8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8ECF1"/>
        <bgColor rgb="FFFFEBEE"/>
      </patternFill>
    </fill>
    <fill>
      <patternFill patternType="solid">
        <fgColor rgb="FFFFF8E1"/>
        <bgColor rgb="FFFFEBEE"/>
      </patternFill>
    </fill>
    <fill>
      <patternFill patternType="solid">
        <fgColor rgb="FF0F3460"/>
        <bgColor rgb="FF16213E"/>
      </patternFill>
    </fill>
    <fill>
      <patternFill patternType="solid">
        <fgColor rgb="FFFFEBEE"/>
        <bgColor rgb="FFFFF8E1"/>
      </patternFill>
    </fill>
    <fill>
      <patternFill patternType="solid">
        <fgColor rgb="FF533483"/>
        <bgColor rgb="FF555555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2" fillId="3" borderId="2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9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6" borderId="2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22" fillId="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/>
    </xf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2" fillId="3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0" fontId="19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1" fillId="6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23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8EC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213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3460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E9456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555555"/>
      <rgbColor rgb="FF969696"/>
      <rgbColor rgb="FF0F3460"/>
      <rgbColor rgb="FF339966"/>
      <rgbColor rgb="FF16213E"/>
      <rgbColor rgb="FF1A1A2E"/>
      <rgbColor rgb="FF993300"/>
      <rgbColor rgb="FF993366"/>
      <rgbColor rgb="FF533483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3460"/>
    <outlinePr summaryBelow="1" summaryRight="1"/>
    <pageSetUpPr fitToPage="0"/>
  </sheetPr>
  <dimension ref="A1:G28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2" min="1" max="1"/>
    <col width="22" customWidth="1" style="32" min="2" max="2"/>
    <col width="24" customWidth="1" style="32" min="3" max="3"/>
    <col width="22" customWidth="1" style="32" min="4" max="4"/>
    <col width="65" customWidth="1" style="32" min="5" max="5"/>
    <col width="12" customWidth="1" style="32" min="6" max="6"/>
    <col width="24" customWidth="1" style="32" min="7" max="7"/>
  </cols>
  <sheetData>
    <row r="1" ht="38" customHeight="1" s="33">
      <c r="A1" s="34" t="inlineStr">
        <is>
          <t>業務要件書 — 統合データ基盤</t>
        </is>
      </c>
    </row>
    <row r="2" ht="22" customHeight="1" s="33">
      <c r="A2" s="35" t="inlineStr">
        <is>
          <t>文書: 統合データ基盤 業務要件定義書 | みらい建設工業 統合建設DX基盤 | 作成日: 2026-05-16</t>
        </is>
      </c>
    </row>
    <row r="4" ht="15" customHeight="1" s="33">
      <c r="A4" s="36" t="inlineStr">
        <is>
          <t>No.</t>
        </is>
      </c>
      <c r="B4" s="37" t="inlineStr">
        <is>
          <t>大分類</t>
        </is>
      </c>
      <c r="C4" s="37" t="inlineStr">
        <is>
          <t>中分類</t>
        </is>
      </c>
      <c r="D4" s="37" t="inlineStr">
        <is>
          <t>小分類</t>
        </is>
      </c>
      <c r="E4" s="37" t="inlineStr">
        <is>
          <t>業務項目・内容</t>
        </is>
      </c>
      <c r="F4" s="37" t="inlineStr">
        <is>
          <t>優先度</t>
        </is>
      </c>
      <c r="G4" s="37" t="inlineStr">
        <is>
          <t>備考</t>
        </is>
      </c>
    </row>
    <row r="5" ht="32" customHeight="1" s="33">
      <c r="A5" s="38" t="inlineStr">
        <is>
          <t>■ 部門概要と業務範囲</t>
        </is>
      </c>
      <c r="B5" s="39" t="n"/>
      <c r="C5" s="39" t="n"/>
      <c r="D5" s="39" t="n"/>
      <c r="E5" s="39" t="n"/>
      <c r="F5" s="39" t="n"/>
      <c r="G5" s="39" t="n"/>
    </row>
    <row r="6" ht="16" customHeight="1" s="33">
      <c r="A6" s="40" t="n">
        <v>1</v>
      </c>
      <c r="B6" s="41" t="inlineStr">
        <is>
          <t>部門概要と業務範囲</t>
        </is>
      </c>
      <c r="C6" s="41" t="inlineStr">
        <is>
          <t>業務範囲</t>
        </is>
      </c>
      <c r="D6" s="42" t="n"/>
      <c r="E6" s="41" t="inlineStr">
        <is>
          <t>データ収集・統合: 全社システムからのデータ収集、ETLパイプライン運用</t>
        </is>
      </c>
      <c r="F6" s="43" t="n"/>
      <c r="G6" s="42" t="n"/>
    </row>
    <row r="7" ht="16" customHeight="1" s="33">
      <c r="A7" s="40" t="n">
        <v>2</v>
      </c>
      <c r="B7" s="41" t="inlineStr">
        <is>
          <t>部門概要と業務範囲</t>
        </is>
      </c>
      <c r="C7" s="41" t="inlineStr">
        <is>
          <t>業務範囲</t>
        </is>
      </c>
      <c r="D7" s="42" t="n"/>
      <c r="E7" s="41" t="inlineStr">
        <is>
          <t>データガバナンス: データ品質管理、メタデータ管理、アクセス制御</t>
        </is>
      </c>
      <c r="F7" s="43" t="n"/>
      <c r="G7" s="42" t="n"/>
    </row>
    <row r="8" ht="16" customHeight="1" s="33">
      <c r="A8" s="40" t="n">
        <v>3</v>
      </c>
      <c r="B8" s="41" t="inlineStr">
        <is>
          <t>部門概要と業務範囲</t>
        </is>
      </c>
      <c r="C8" s="41" t="inlineStr">
        <is>
          <t>業務範囲</t>
        </is>
      </c>
      <c r="D8" s="42" t="n"/>
      <c r="E8" s="41" t="inlineStr">
        <is>
          <t>データカタログ: 全社データ資産の可視化・検索・利活用促進</t>
        </is>
      </c>
      <c r="F8" s="43" t="n"/>
      <c r="G8" s="42" t="n"/>
    </row>
    <row r="9" ht="16" customHeight="1" s="33">
      <c r="A9" s="40" t="n">
        <v>4</v>
      </c>
      <c r="B9" s="41" t="inlineStr">
        <is>
          <t>部門概要と業務範囲</t>
        </is>
      </c>
      <c r="C9" s="41" t="inlineStr">
        <is>
          <t>業務範囲</t>
        </is>
      </c>
      <c r="D9" s="42" t="n"/>
      <c r="E9" s="41" t="inlineStr">
        <is>
          <t>マスタデータ管理（MDM）: 全社共通マスタの一元管理・配信</t>
        </is>
      </c>
      <c r="F9" s="43" t="n"/>
      <c r="G9" s="42" t="n"/>
    </row>
    <row r="10" ht="16" customHeight="1" s="33">
      <c r="A10" s="40" t="n">
        <v>5</v>
      </c>
      <c r="B10" s="41" t="inlineStr">
        <is>
          <t>部門概要と業務範囲</t>
        </is>
      </c>
      <c r="C10" s="41" t="inlineStr">
        <is>
          <t>業務範囲</t>
        </is>
      </c>
      <c r="D10" s="42" t="n"/>
      <c r="E10" s="41" t="inlineStr">
        <is>
          <t>データ分析基盤: BI・AI/ML向けデータマート提供</t>
        </is>
      </c>
      <c r="F10" s="43" t="n"/>
      <c r="G10" s="42" t="n"/>
    </row>
    <row r="11" ht="16" customHeight="1" s="33">
      <c r="A11" s="40" t="n">
        <v>6</v>
      </c>
      <c r="B11" s="41" t="inlineStr">
        <is>
          <t>部門概要と業務範囲</t>
        </is>
      </c>
      <c r="C11" s="41" t="inlineStr">
        <is>
          <t>業務範囲</t>
        </is>
      </c>
      <c r="D11" s="42" t="n"/>
      <c r="E11" s="44" t="inlineStr">
        <is>
          <t>MLOps: AI/MLモデルのライフサイクル管理</t>
        </is>
      </c>
      <c r="F11" s="43" t="n"/>
      <c r="G11" s="42" t="n"/>
    </row>
    <row r="12" ht="16" customHeight="1" s="33">
      <c r="A12" s="40" t="n">
        <v>7</v>
      </c>
      <c r="B12" s="41" t="inlineStr">
        <is>
          <t>部門概要と業務範囲</t>
        </is>
      </c>
      <c r="C12" s="41" t="inlineStr">
        <is>
          <t>業務範囲</t>
        </is>
      </c>
      <c r="D12" s="42" t="n"/>
      <c r="E12" s="41" t="inlineStr">
        <is>
          <t>デジタルツイン: 建設現場・インフラの3Dデジタルモデル運用</t>
        </is>
      </c>
      <c r="F12" s="43" t="n"/>
      <c r="G12" s="42" t="n"/>
    </row>
    <row r="13" ht="16" customHeight="1" s="33">
      <c r="A13" s="40" t="n">
        <v>8</v>
      </c>
      <c r="B13" s="41" t="inlineStr">
        <is>
          <t>部門概要と業務範囲</t>
        </is>
      </c>
      <c r="C13" s="41" t="inlineStr">
        <is>
          <t>業務範囲</t>
        </is>
      </c>
      <c r="D13" s="42" t="n"/>
      <c r="E13" s="44" t="inlineStr">
        <is>
          <t>API Gateway: 全社データAPIの統合管理・提供</t>
        </is>
      </c>
      <c r="F13" s="43" t="n"/>
      <c r="G13" s="42" t="n"/>
    </row>
    <row r="14" ht="16" customHeight="1" s="33">
      <c r="A14" s="40" t="n">
        <v>9</v>
      </c>
      <c r="B14" s="41" t="inlineStr">
        <is>
          <t>部門概要と業務範囲</t>
        </is>
      </c>
      <c r="C14" s="41" t="inlineStr">
        <is>
          <t>業務範囲</t>
        </is>
      </c>
      <c r="D14" s="42" t="n"/>
      <c r="E14" s="41" t="inlineStr">
        <is>
          <t>データレイク運用: ストレージ階層管理、コスト最適化</t>
        </is>
      </c>
      <c r="F14" s="43" t="n"/>
      <c r="G14" s="42" t="n"/>
    </row>
    <row r="15" ht="32" customHeight="1" s="33">
      <c r="A15" s="45" t="inlineStr">
        <is>
          <t>■ ETLパイプライン運用業務</t>
        </is>
      </c>
      <c r="B15" s="39" t="n"/>
      <c r="C15" s="39" t="n"/>
      <c r="D15" s="39" t="n"/>
      <c r="E15" s="39" t="n"/>
      <c r="F15" s="39" t="n"/>
      <c r="G15" s="39" t="n"/>
    </row>
    <row r="16" ht="16" customHeight="1" s="33">
      <c r="A16" s="40" t="n">
        <v>10</v>
      </c>
      <c r="B16" s="44" t="inlineStr">
        <is>
          <t>ETLパイプライン運用業務</t>
        </is>
      </c>
      <c r="C16" s="41" t="inlineStr">
        <is>
          <t>データ収集パイプライン管理</t>
        </is>
      </c>
      <c r="D16" s="44" t="inlineStr">
        <is>
          <t>ETLパイプライン設計要件</t>
        </is>
      </c>
      <c r="E16" s="41" t="inlineStr">
        <is>
          <t>オーケストレーション: Apache Airflow によるDAG管理</t>
        </is>
      </c>
      <c r="F16" s="43" t="n"/>
      <c r="G16" s="46" t="n"/>
    </row>
    <row r="17" ht="16" customHeight="1" s="33">
      <c r="A17" s="40" t="n">
        <v>11</v>
      </c>
      <c r="B17" s="44" t="inlineStr">
        <is>
          <t>ETLパイプライン運用業務</t>
        </is>
      </c>
      <c r="C17" s="41" t="inlineStr">
        <is>
          <t>データ収集パイプライン管理</t>
        </is>
      </c>
      <c r="D17" s="44" t="inlineStr">
        <is>
          <t>ETLパイプライン設計要件</t>
        </is>
      </c>
      <c r="E17" s="41" t="inlineStr">
        <is>
          <t>データ変換: dbt (Data Build Tool) による変換レイヤー</t>
        </is>
      </c>
      <c r="F17" s="43" t="n"/>
      <c r="G17" s="46" t="n"/>
    </row>
    <row r="18" ht="16" customHeight="1" s="33">
      <c r="A18" s="40" t="n">
        <v>12</v>
      </c>
      <c r="B18" s="44" t="inlineStr">
        <is>
          <t>ETLパイプライン運用業務</t>
        </is>
      </c>
      <c r="C18" s="41" t="inlineStr">
        <is>
          <t>データ収集パイプライン管理</t>
        </is>
      </c>
      <c r="D18" s="44" t="inlineStr">
        <is>
          <t>ETLパイプライン設計要件</t>
        </is>
      </c>
      <c r="E18" s="41" t="inlineStr">
        <is>
          <t>ストリーム処理: Apache Kafka + Kafka Streams</t>
        </is>
      </c>
      <c r="F18" s="43" t="n"/>
      <c r="G18" s="46" t="n"/>
    </row>
    <row r="19" ht="32" customHeight="1" s="33">
      <c r="A19" s="38" t="inlineStr">
        <is>
          <t>■ データガバナンス業務</t>
        </is>
      </c>
      <c r="B19" s="39" t="n"/>
      <c r="C19" s="39" t="n"/>
      <c r="D19" s="39" t="n"/>
      <c r="E19" s="39" t="n"/>
      <c r="F19" s="39" t="n"/>
      <c r="G19" s="39" t="n"/>
    </row>
    <row r="20" ht="16" customHeight="1" s="33">
      <c r="A20" s="40" t="n">
        <v>13</v>
      </c>
      <c r="B20" s="41" t="inlineStr">
        <is>
          <t>データガバナンス業務</t>
        </is>
      </c>
      <c r="C20" s="41" t="inlineStr">
        <is>
          <t>データ品質管理</t>
        </is>
      </c>
      <c r="D20" s="41" t="inlineStr">
        <is>
          <t>データ品質スコアリング</t>
        </is>
      </c>
      <c r="E20" s="41" t="inlineStr">
        <is>
          <t>各データセットに対して品質スコア（0-100）を自動算出</t>
        </is>
      </c>
      <c r="F20" s="43" t="n"/>
      <c r="G20" s="46" t="n"/>
    </row>
    <row r="21" ht="16" customHeight="1" s="33">
      <c r="A21" s="40" t="n">
        <v>14</v>
      </c>
      <c r="B21" s="41" t="inlineStr">
        <is>
          <t>データガバナンス業務</t>
        </is>
      </c>
      <c r="C21" s="41" t="inlineStr">
        <is>
          <t>データ品質管理</t>
        </is>
      </c>
      <c r="D21" s="41" t="inlineStr">
        <is>
          <t>データ品質スコアリング</t>
        </is>
      </c>
      <c r="E21" s="41" t="inlineStr">
        <is>
          <t>スコア70未満のデータセットは利用制限（警告表示）</t>
        </is>
      </c>
      <c r="F21" s="43" t="n"/>
      <c r="G21" s="46" t="n"/>
    </row>
    <row r="22" ht="16" customHeight="1" s="33">
      <c r="A22" s="40" t="n">
        <v>15</v>
      </c>
      <c r="B22" s="41" t="inlineStr">
        <is>
          <t>データガバナンス業務</t>
        </is>
      </c>
      <c r="C22" s="41" t="inlineStr">
        <is>
          <t>データ品質管理</t>
        </is>
      </c>
      <c r="D22" s="41" t="inlineStr">
        <is>
          <t>データ品質スコアリング</t>
        </is>
      </c>
      <c r="E22" s="41" t="inlineStr">
        <is>
          <t>スコア50未満のデータセットは利用停止（自動遮断）</t>
        </is>
      </c>
      <c r="F22" s="43" t="n"/>
      <c r="G22" s="46" t="n"/>
    </row>
    <row r="23" ht="16" customHeight="1" s="33">
      <c r="A23" s="40" t="n">
        <v>16</v>
      </c>
      <c r="B23" s="41" t="inlineStr">
        <is>
          <t>データガバナンス業務</t>
        </is>
      </c>
      <c r="C23" s="41" t="inlineStr">
        <is>
          <t>データ品質管理</t>
        </is>
      </c>
      <c r="D23" s="41" t="inlineStr">
        <is>
          <t>データ品質スコアリング</t>
        </is>
      </c>
      <c r="E23" s="41" t="inlineStr">
        <is>
          <t>月次データ品質レポートを全社配信</t>
        </is>
      </c>
      <c r="F23" s="43" t="n"/>
      <c r="G23" s="46" t="n"/>
    </row>
    <row r="24" ht="16" customHeight="1" s="33">
      <c r="A24" s="40" t="n">
        <v>17</v>
      </c>
      <c r="B24" s="41" t="inlineStr">
        <is>
          <t>データガバナンス業務</t>
        </is>
      </c>
      <c r="C24" s="41" t="inlineStr">
        <is>
          <t>データ品質管理</t>
        </is>
      </c>
      <c r="D24" s="41" t="inlineStr">
        <is>
          <t>データリネージ管理</t>
        </is>
      </c>
      <c r="E24" s="44" t="inlineStr">
        <is>
          <t>dbt + OpenLineage によるデータ変換の系譜追跡</t>
        </is>
      </c>
      <c r="F24" s="43" t="n"/>
      <c r="G24" s="46" t="n"/>
    </row>
    <row r="25" ht="16" customHeight="1" s="33">
      <c r="A25" s="40" t="n">
        <v>18</v>
      </c>
      <c r="B25" s="41" t="inlineStr">
        <is>
          <t>データガバナンス業務</t>
        </is>
      </c>
      <c r="C25" s="41" t="inlineStr">
        <is>
          <t>データ品質管理</t>
        </is>
      </c>
      <c r="D25" s="41" t="inlineStr">
        <is>
          <t>データリネージ管理</t>
        </is>
      </c>
      <c r="E25" s="41" t="inlineStr">
        <is>
          <t>ソースからBIレポートまでのEnd-to-Endリネージ可視化</t>
        </is>
      </c>
      <c r="F25" s="43" t="n"/>
      <c r="G25" s="46" t="n"/>
    </row>
    <row r="26" ht="16" customHeight="1" s="33">
      <c r="A26" s="40" t="n">
        <v>19</v>
      </c>
      <c r="B26" s="41" t="inlineStr">
        <is>
          <t>データガバナンス業務</t>
        </is>
      </c>
      <c r="C26" s="41" t="inlineStr">
        <is>
          <t>データ品質管理</t>
        </is>
      </c>
      <c r="D26" s="41" t="inlineStr">
        <is>
          <t>データリネージ管理</t>
        </is>
      </c>
      <c r="E26" s="41" t="inlineStr">
        <is>
          <t>カラムレベルのリネージ追跡</t>
        </is>
      </c>
      <c r="F26" s="43" t="n"/>
      <c r="G26" s="46" t="n"/>
    </row>
    <row r="27" ht="16" customHeight="1" s="33">
      <c r="A27" s="40" t="n">
        <v>20</v>
      </c>
      <c r="B27" s="41" t="inlineStr">
        <is>
          <t>データガバナンス業務</t>
        </is>
      </c>
      <c r="C27" s="41" t="inlineStr">
        <is>
          <t>データ品質管理</t>
        </is>
      </c>
      <c r="D27" s="41" t="inlineStr">
        <is>
          <t>データリネージ管理</t>
        </is>
      </c>
      <c r="E27" s="41" t="inlineStr">
        <is>
          <t>影響分析（上流変更時の下流影響範囲特定）</t>
        </is>
      </c>
      <c r="F27" s="43" t="n"/>
      <c r="G27" s="46" t="n"/>
    </row>
    <row r="28" ht="32" customHeight="1" s="33">
      <c r="A28" s="40" t="n">
        <v>21</v>
      </c>
      <c r="B28" s="41" t="inlineStr">
        <is>
          <t>データガバナンス業務</t>
        </is>
      </c>
      <c r="C28" s="41" t="inlineStr">
        <is>
          <t>データアクセス制御</t>
        </is>
      </c>
      <c r="D28" s="41" t="inlineStr">
        <is>
          <t>アクセス制御実装</t>
        </is>
      </c>
      <c r="E28" s="44" t="inlineStr">
        <is>
          <t>Entra ID グループベースのRBAC（Role-Based Access Control）</t>
        </is>
      </c>
      <c r="F28" s="43" t="n"/>
      <c r="G28" s="46" t="n"/>
    </row>
    <row r="29" ht="16" customHeight="1" s="33">
      <c r="A29" s="40" t="n">
        <v>22</v>
      </c>
      <c r="B29" s="41" t="inlineStr">
        <is>
          <t>データガバナンス業務</t>
        </is>
      </c>
      <c r="C29" s="41" t="inlineStr">
        <is>
          <t>データアクセス制御</t>
        </is>
      </c>
      <c r="D29" s="41" t="inlineStr">
        <is>
          <t>アクセス制御実装</t>
        </is>
      </c>
      <c r="E29" s="44" t="inlineStr">
        <is>
          <t>Apache Ranger によるデータレイクレベルの細粒度アクセス制御</t>
        </is>
      </c>
      <c r="F29" s="43" t="n"/>
      <c r="G29" s="46" t="n"/>
    </row>
    <row r="30" ht="16" customHeight="1" s="33">
      <c r="A30" s="40" t="n">
        <v>23</v>
      </c>
      <c r="B30" s="41" t="inlineStr">
        <is>
          <t>データガバナンス業務</t>
        </is>
      </c>
      <c r="C30" s="41" t="inlineStr">
        <is>
          <t>データアクセス制御</t>
        </is>
      </c>
      <c r="D30" s="41" t="inlineStr">
        <is>
          <t>アクセス制御実装</t>
        </is>
      </c>
      <c r="E30" s="41" t="inlineStr">
        <is>
          <t>カラムレベルマスキング（個人情報、原価情報）</t>
        </is>
      </c>
      <c r="F30" s="43" t="n"/>
      <c r="G30" s="46" t="n"/>
    </row>
    <row r="31" ht="16" customHeight="1" s="33">
      <c r="A31" s="40" t="n">
        <v>24</v>
      </c>
      <c r="B31" s="41" t="inlineStr">
        <is>
          <t>データガバナンス業務</t>
        </is>
      </c>
      <c r="C31" s="41" t="inlineStr">
        <is>
          <t>データアクセス制御</t>
        </is>
      </c>
      <c r="D31" s="41" t="inlineStr">
        <is>
          <t>アクセス制御実装</t>
        </is>
      </c>
      <c r="E31" s="41" t="inlineStr">
        <is>
          <t>行レベルセキュリティ（部門・プロジェクト単位）</t>
        </is>
      </c>
      <c r="F31" s="43" t="n"/>
      <c r="G31" s="46" t="n"/>
    </row>
    <row r="32" ht="16" customHeight="1" s="33">
      <c r="A32" s="40" t="n">
        <v>25</v>
      </c>
      <c r="B32" s="41" t="inlineStr">
        <is>
          <t>データガバナンス業務</t>
        </is>
      </c>
      <c r="C32" s="41" t="inlineStr">
        <is>
          <t>データアクセス制御</t>
        </is>
      </c>
      <c r="D32" s="41" t="inlineStr">
        <is>
          <t>アクセス制御実装</t>
        </is>
      </c>
      <c r="E32" s="41" t="inlineStr">
        <is>
          <t>アクセスログの完全記録・監査対応</t>
        </is>
      </c>
      <c r="F32" s="43" t="n"/>
      <c r="G32" s="46" t="n"/>
    </row>
    <row r="33" ht="32" customHeight="1" s="33">
      <c r="A33" s="38" t="inlineStr">
        <is>
          <t>■ データカタログ管理業務</t>
        </is>
      </c>
      <c r="B33" s="39" t="n"/>
      <c r="C33" s="39" t="n"/>
      <c r="D33" s="39" t="n"/>
      <c r="E33" s="39" t="n"/>
      <c r="F33" s="39" t="n"/>
      <c r="G33" s="39" t="n"/>
    </row>
    <row r="34" ht="16" customHeight="1" s="33">
      <c r="A34" s="40" t="n">
        <v>26</v>
      </c>
      <c r="B34" s="41" t="inlineStr">
        <is>
          <t>データカタログ管理業務</t>
        </is>
      </c>
      <c r="C34" s="41" t="inlineStr">
        <is>
          <t>メタデータ管理</t>
        </is>
      </c>
      <c r="D34" s="41" t="inlineStr">
        <is>
          <t>管理対象メタデータ</t>
        </is>
      </c>
      <c r="E34" s="41" t="inlineStr">
        <is>
          <t>技術メタデータ: テーブル定義、カラム型、パーティション情報、インデックス</t>
        </is>
      </c>
      <c r="F34" s="43" t="n"/>
      <c r="G34" s="46" t="n"/>
    </row>
    <row r="35" ht="16" customHeight="1" s="33">
      <c r="A35" s="40" t="n">
        <v>27</v>
      </c>
      <c r="B35" s="41" t="inlineStr">
        <is>
          <t>データカタログ管理業務</t>
        </is>
      </c>
      <c r="C35" s="41" t="inlineStr">
        <is>
          <t>メタデータ管理</t>
        </is>
      </c>
      <c r="D35" s="41" t="inlineStr">
        <is>
          <t>管理対象メタデータ</t>
        </is>
      </c>
      <c r="E35" s="41" t="inlineStr">
        <is>
          <t>ビジネスメタデータ: データオーナー、説明、分類タグ、利用用途</t>
        </is>
      </c>
      <c r="F35" s="43" t="n"/>
      <c r="G35" s="46" t="n"/>
    </row>
    <row r="36" ht="16" customHeight="1" s="33">
      <c r="A36" s="40" t="n">
        <v>28</v>
      </c>
      <c r="B36" s="41" t="inlineStr">
        <is>
          <t>データカタログ管理業務</t>
        </is>
      </c>
      <c r="C36" s="41" t="inlineStr">
        <is>
          <t>メタデータ管理</t>
        </is>
      </c>
      <c r="D36" s="41" t="inlineStr">
        <is>
          <t>管理対象メタデータ</t>
        </is>
      </c>
      <c r="E36" s="41" t="inlineStr">
        <is>
          <t>運用メタデータ: 更新頻度、最終更新日時、データ件数、サイズ</t>
        </is>
      </c>
      <c r="F36" s="43" t="n"/>
      <c r="G36" s="46" t="n"/>
    </row>
    <row r="37" ht="16" customHeight="1" s="33">
      <c r="A37" s="40" t="n">
        <v>29</v>
      </c>
      <c r="B37" s="41" t="inlineStr">
        <is>
          <t>データカタログ管理業務</t>
        </is>
      </c>
      <c r="C37" s="41" t="inlineStr">
        <is>
          <t>メタデータ管理</t>
        </is>
      </c>
      <c r="D37" s="41" t="inlineStr">
        <is>
          <t>管理対象メタデータ</t>
        </is>
      </c>
      <c r="E37" s="41" t="inlineStr">
        <is>
          <t>品質メタデータ: 品質スコア、テスト結果、異常検知履歴</t>
        </is>
      </c>
      <c r="F37" s="43" t="n"/>
      <c r="G37" s="46" t="n"/>
    </row>
    <row r="38" ht="16" customHeight="1" s="33">
      <c r="A38" s="40" t="n">
        <v>30</v>
      </c>
      <c r="B38" s="41" t="inlineStr">
        <is>
          <t>データカタログ管理業務</t>
        </is>
      </c>
      <c r="C38" s="41" t="inlineStr">
        <is>
          <t>メタデータ管理</t>
        </is>
      </c>
      <c r="D38" s="41" t="inlineStr">
        <is>
          <t>データカタログ機能要件</t>
        </is>
      </c>
      <c r="E38" s="41" t="inlineStr">
        <is>
          <t>全文検索: Elasticsearch + Kuromoji による日本語対応検索</t>
        </is>
      </c>
      <c r="F38" s="43" t="n"/>
      <c r="G38" s="46" t="n"/>
    </row>
    <row r="39" ht="16" customHeight="1" s="33">
      <c r="A39" s="40" t="n">
        <v>31</v>
      </c>
      <c r="B39" s="41" t="inlineStr">
        <is>
          <t>データカタログ管理業務</t>
        </is>
      </c>
      <c r="C39" s="41" t="inlineStr">
        <is>
          <t>メタデータ管理</t>
        </is>
      </c>
      <c r="D39" s="41" t="inlineStr">
        <is>
          <t>データカタログ機能要件</t>
        </is>
      </c>
      <c r="E39" s="41" t="inlineStr">
        <is>
          <t>タグ分類: 部門タグ、業務タグ、機密レベルタグの付与・検索</t>
        </is>
      </c>
      <c r="F39" s="43" t="n"/>
      <c r="G39" s="46" t="n"/>
    </row>
    <row r="40" ht="16" customHeight="1" s="33">
      <c r="A40" s="40" t="n">
        <v>32</v>
      </c>
      <c r="B40" s="41" t="inlineStr">
        <is>
          <t>データカタログ管理業務</t>
        </is>
      </c>
      <c r="C40" s="41" t="inlineStr">
        <is>
          <t>メタデータ管理</t>
        </is>
      </c>
      <c r="D40" s="41" t="inlineStr">
        <is>
          <t>データカタログ機能要件</t>
        </is>
      </c>
      <c r="E40" s="41" t="inlineStr">
        <is>
          <t>データプレビュー: サンプルデータ（最大100行）の即座表示</t>
        </is>
      </c>
      <c r="F40" s="43" t="n"/>
      <c r="G40" s="46" t="n"/>
    </row>
    <row r="41" ht="16" customHeight="1" s="33">
      <c r="A41" s="40" t="n">
        <v>33</v>
      </c>
      <c r="B41" s="41" t="inlineStr">
        <is>
          <t>データカタログ管理業務</t>
        </is>
      </c>
      <c r="C41" s="41" t="inlineStr">
        <is>
          <t>メタデータ管理</t>
        </is>
      </c>
      <c r="D41" s="41" t="inlineStr">
        <is>
          <t>データカタログ機能要件</t>
        </is>
      </c>
      <c r="E41" s="41" t="inlineStr">
        <is>
          <t>利用状況可視化: データセットごとのアクセス頻度・利用者数ダッシュボード</t>
        </is>
      </c>
      <c r="F41" s="43" t="n"/>
      <c r="G41" s="46" t="n"/>
    </row>
    <row r="42" ht="16" customHeight="1" s="33">
      <c r="A42" s="40" t="n">
        <v>34</v>
      </c>
      <c r="B42" s="41" t="inlineStr">
        <is>
          <t>データカタログ管理業務</t>
        </is>
      </c>
      <c r="C42" s="41" t="inlineStr">
        <is>
          <t>メタデータ管理</t>
        </is>
      </c>
      <c r="D42" s="41" t="inlineStr">
        <is>
          <t>データカタログ機能要件</t>
        </is>
      </c>
      <c r="E42" s="41" t="inlineStr">
        <is>
          <t>データリクエスト: 新規データ要求のワークフロー管理</t>
        </is>
      </c>
      <c r="F42" s="43" t="n"/>
      <c r="G42" s="46" t="n"/>
    </row>
    <row r="43" ht="16" customHeight="1" s="33">
      <c r="A43" s="40" t="n">
        <v>35</v>
      </c>
      <c r="B43" s="41" t="inlineStr">
        <is>
          <t>データカタログ管理業務</t>
        </is>
      </c>
      <c r="C43" s="41" t="inlineStr">
        <is>
          <t>メタデータ管理</t>
        </is>
      </c>
      <c r="D43" s="41" t="inlineStr">
        <is>
          <t>データカタログ機能要件</t>
        </is>
      </c>
      <c r="E43" s="41" t="inlineStr">
        <is>
          <t>用語集（Glossary）: 全社共通のビジネス用語定義管理</t>
        </is>
      </c>
      <c r="F43" s="43" t="n"/>
      <c r="G43" s="46" t="n"/>
    </row>
    <row r="44" ht="16" customHeight="1" s="33">
      <c r="A44" s="40" t="n">
        <v>36</v>
      </c>
      <c r="B44" s="41" t="inlineStr">
        <is>
          <t>データカタログ管理業務</t>
        </is>
      </c>
      <c r="C44" s="41" t="inlineStr">
        <is>
          <t>メタデータ管理</t>
        </is>
      </c>
      <c r="D44" s="41" t="inlineStr">
        <is>
          <t>自動メタデータ収集</t>
        </is>
      </c>
      <c r="E44" s="44" t="inlineStr">
        <is>
          <t>dbt manifest.json からのテーブル・カラム情報自動取得</t>
        </is>
      </c>
      <c r="F44" s="43" t="n"/>
      <c r="G44" s="46" t="n"/>
    </row>
    <row r="45" ht="16" customHeight="1" s="33">
      <c r="A45" s="40" t="n">
        <v>37</v>
      </c>
      <c r="B45" s="41" t="inlineStr">
        <is>
          <t>データカタログ管理業務</t>
        </is>
      </c>
      <c r="C45" s="41" t="inlineStr">
        <is>
          <t>メタデータ管理</t>
        </is>
      </c>
      <c r="D45" s="41" t="inlineStr">
        <is>
          <t>自動メタデータ収集</t>
        </is>
      </c>
      <c r="E45" s="44" t="inlineStr">
        <is>
          <t>Airflow DAG定義からのパイプライン情報自動取得</t>
        </is>
      </c>
      <c r="F45" s="43" t="n"/>
      <c r="G45" s="46" t="n"/>
    </row>
    <row r="46" ht="16" customHeight="1" s="33">
      <c r="A46" s="40" t="n">
        <v>38</v>
      </c>
      <c r="B46" s="41" t="inlineStr">
        <is>
          <t>データカタログ管理業務</t>
        </is>
      </c>
      <c r="C46" s="41" t="inlineStr">
        <is>
          <t>メタデータ管理</t>
        </is>
      </c>
      <c r="D46" s="41" t="inlineStr">
        <is>
          <t>自動メタデータ収集</t>
        </is>
      </c>
      <c r="E46" s="44" t="inlineStr">
        <is>
          <t>PostgreSQL information_schema からのスキーマ情報自動同期</t>
        </is>
      </c>
      <c r="F46" s="43" t="n"/>
      <c r="G46" s="46" t="n"/>
    </row>
    <row r="47" ht="16" customHeight="1" s="33">
      <c r="A47" s="40" t="n">
        <v>39</v>
      </c>
      <c r="B47" s="41" t="inlineStr">
        <is>
          <t>データカタログ管理業務</t>
        </is>
      </c>
      <c r="C47" s="41" t="inlineStr">
        <is>
          <t>メタデータ管理</t>
        </is>
      </c>
      <c r="D47" s="41" t="inlineStr">
        <is>
          <t>自動メタデータ収集</t>
        </is>
      </c>
      <c r="E47" s="44" t="inlineStr">
        <is>
          <t>Kafka Schema Registry からのイベントスキーマ自動取得</t>
        </is>
      </c>
      <c r="F47" s="43" t="n"/>
      <c r="G47" s="46" t="n"/>
    </row>
    <row r="48" ht="16" customHeight="1" s="33">
      <c r="A48" s="40" t="n">
        <v>40</v>
      </c>
      <c r="B48" s="41" t="inlineStr">
        <is>
          <t>データカタログ管理業務</t>
        </is>
      </c>
      <c r="C48" s="41" t="inlineStr">
        <is>
          <t>データセット公開管理</t>
        </is>
      </c>
      <c r="D48" s="41" t="inlineStr">
        <is>
          <t>データセット評価</t>
        </is>
      </c>
      <c r="E48" s="41" t="inlineStr">
        <is>
          <t>利用者によるレーティング（5段階）</t>
        </is>
      </c>
      <c r="F48" s="43" t="n"/>
      <c r="G48" s="46" t="n"/>
    </row>
    <row r="49" ht="16" customHeight="1" s="33">
      <c r="A49" s="40" t="n">
        <v>41</v>
      </c>
      <c r="B49" s="41" t="inlineStr">
        <is>
          <t>データカタログ管理業務</t>
        </is>
      </c>
      <c r="C49" s="41" t="inlineStr">
        <is>
          <t>データセット公開管理</t>
        </is>
      </c>
      <c r="D49" s="41" t="inlineStr">
        <is>
          <t>データセット評価</t>
        </is>
      </c>
      <c r="E49" s="41" t="inlineStr">
        <is>
          <t>利用者コメント・改善要望の収集</t>
        </is>
      </c>
      <c r="F49" s="43" t="n"/>
      <c r="G49" s="46" t="n"/>
    </row>
    <row r="50" ht="16" customHeight="1" s="33">
      <c r="A50" s="40" t="n">
        <v>42</v>
      </c>
      <c r="B50" s="41" t="inlineStr">
        <is>
          <t>データカタログ管理業務</t>
        </is>
      </c>
      <c r="C50" s="41" t="inlineStr">
        <is>
          <t>データセット公開管理</t>
        </is>
      </c>
      <c r="D50" s="41" t="inlineStr">
        <is>
          <t>データセット評価</t>
        </is>
      </c>
      <c r="E50" s="41" t="inlineStr">
        <is>
          <t>人気データセットランキング（月次）</t>
        </is>
      </c>
      <c r="F50" s="43" t="n"/>
      <c r="G50" s="46" t="n"/>
    </row>
    <row r="51" ht="16" customHeight="1" s="33">
      <c r="A51" s="40" t="n">
        <v>43</v>
      </c>
      <c r="B51" s="41" t="inlineStr">
        <is>
          <t>データカタログ管理業務</t>
        </is>
      </c>
      <c r="C51" s="41" t="inlineStr">
        <is>
          <t>データセット公開管理</t>
        </is>
      </c>
      <c r="D51" s="41" t="inlineStr">
        <is>
          <t>データセット評価</t>
        </is>
      </c>
      <c r="E51" s="41" t="inlineStr">
        <is>
          <t>未利用データセットの定期レビュー・廃止検討</t>
        </is>
      </c>
      <c r="F51" s="43" t="n"/>
      <c r="G51" s="46" t="n"/>
    </row>
    <row r="52" ht="48" customHeight="1" s="33">
      <c r="A52" s="38" t="inlineStr">
        <is>
          <t>■ マスタデータ管理（MDM）業務</t>
        </is>
      </c>
      <c r="B52" s="39" t="n"/>
      <c r="C52" s="39" t="n"/>
      <c r="D52" s="39" t="n"/>
      <c r="E52" s="39" t="n"/>
      <c r="F52" s="39" t="n"/>
      <c r="G52" s="39" t="n"/>
    </row>
    <row r="53" ht="32" customHeight="1" s="33">
      <c r="A53" s="40" t="n">
        <v>44</v>
      </c>
      <c r="B53" s="41" t="inlineStr">
        <is>
          <t>マスタデータ管理（MDM）業務</t>
        </is>
      </c>
      <c r="C53" s="44" t="inlineStr">
        <is>
          <t>MDM運用要件</t>
        </is>
      </c>
      <c r="D53" s="41" t="inlineStr">
        <is>
          <t>マスタ同期方式</t>
        </is>
      </c>
      <c r="E53" s="44" t="inlineStr">
        <is>
          <t>Golden Record方式: 各ソースシステムのデータを統合し、信頼性の高い単一レコードを生成</t>
        </is>
      </c>
      <c r="F53" s="43" t="n"/>
      <c r="G53" s="46" t="n"/>
    </row>
    <row r="54" ht="16" customHeight="1" s="33">
      <c r="A54" s="40" t="n">
        <v>45</v>
      </c>
      <c r="B54" s="41" t="inlineStr">
        <is>
          <t>マスタデータ管理（MDM）業務</t>
        </is>
      </c>
      <c r="C54" s="44" t="inlineStr">
        <is>
          <t>MDM運用要件</t>
        </is>
      </c>
      <c r="D54" s="41" t="inlineStr">
        <is>
          <t>マスタ同期方式</t>
        </is>
      </c>
      <c r="E54" s="41" t="inlineStr">
        <is>
          <t>双方向同期: マスタ変更は管理部門から配信、各システムのローカル変更は承認後マスタへ反映</t>
        </is>
      </c>
      <c r="F54" s="43" t="n"/>
      <c r="G54" s="46" t="n"/>
    </row>
    <row r="55" ht="16" customHeight="1" s="33">
      <c r="A55" s="40" t="n">
        <v>46</v>
      </c>
      <c r="B55" s="41" t="inlineStr">
        <is>
          <t>マスタデータ管理（MDM）業務</t>
        </is>
      </c>
      <c r="C55" s="44" t="inlineStr">
        <is>
          <t>MDM運用要件</t>
        </is>
      </c>
      <c r="D55" s="41" t="inlineStr">
        <is>
          <t>マスタ同期方式</t>
        </is>
      </c>
      <c r="E55" s="41" t="inlineStr">
        <is>
          <t>同期プロトコル: REST API（プル型）+ Kafkaイベント（プッシュ型）の併用</t>
        </is>
      </c>
      <c r="F55" s="43" t="n"/>
      <c r="G55" s="46" t="n"/>
    </row>
    <row r="56" ht="16" customHeight="1" s="33">
      <c r="A56" s="40" t="n">
        <v>47</v>
      </c>
      <c r="B56" s="41" t="inlineStr">
        <is>
          <t>マスタデータ管理（MDM）業務</t>
        </is>
      </c>
      <c r="C56" s="44" t="inlineStr">
        <is>
          <t>MDM運用要件</t>
        </is>
      </c>
      <c r="D56" s="41" t="inlineStr">
        <is>
          <t>マスタ同期方式</t>
        </is>
      </c>
      <c r="E56" s="41" t="inlineStr">
        <is>
          <t>競合解決: タイムスタンプベース + 管理部門優先ルール</t>
        </is>
      </c>
      <c r="F56" s="43" t="n"/>
      <c r="G56" s="46" t="n"/>
    </row>
    <row r="57" ht="16" customHeight="1" s="33">
      <c r="A57" s="40" t="n">
        <v>48</v>
      </c>
      <c r="B57" s="41" t="inlineStr">
        <is>
          <t>マスタデータ管理（MDM）業務</t>
        </is>
      </c>
      <c r="C57" s="44" t="inlineStr">
        <is>
          <t>MDM運用要件</t>
        </is>
      </c>
      <c r="D57" s="41" t="inlineStr">
        <is>
          <t>マスタ変更管理</t>
        </is>
      </c>
      <c r="E57" s="41" t="inlineStr">
        <is>
          <t>変更申請 → 管理部門承認 → テスト環境反映 → 本番反映の4段階フロー</t>
        </is>
      </c>
      <c r="F57" s="43" t="n"/>
      <c r="G57" s="46" t="n"/>
    </row>
    <row r="58" ht="16" customHeight="1" s="33">
      <c r="A58" s="40" t="n">
        <v>49</v>
      </c>
      <c r="B58" s="41" t="inlineStr">
        <is>
          <t>マスタデータ管理（MDM）業務</t>
        </is>
      </c>
      <c r="C58" s="44" t="inlineStr">
        <is>
          <t>MDM運用要件</t>
        </is>
      </c>
      <c r="D58" s="41" t="inlineStr">
        <is>
          <t>マスタ変更管理</t>
        </is>
      </c>
      <c r="E58" s="41" t="inlineStr">
        <is>
          <t>全変更履歴の完全保持（temporal table）</t>
        </is>
      </c>
      <c r="F58" s="43" t="n"/>
      <c r="G58" s="46" t="n"/>
    </row>
    <row r="59" ht="16" customHeight="1" s="33">
      <c r="A59" s="40" t="n">
        <v>50</v>
      </c>
      <c r="B59" s="41" t="inlineStr">
        <is>
          <t>マスタデータ管理（MDM）業務</t>
        </is>
      </c>
      <c r="C59" s="44" t="inlineStr">
        <is>
          <t>MDM運用要件</t>
        </is>
      </c>
      <c r="D59" s="41" t="inlineStr">
        <is>
          <t>マスタ変更管理</t>
        </is>
      </c>
      <c r="E59" s="41" t="inlineStr">
        <is>
          <t>変更影響分析（依存システム一覧の自動表示）</t>
        </is>
      </c>
      <c r="F59" s="43" t="n"/>
      <c r="G59" s="46" t="n"/>
    </row>
    <row r="60" ht="16" customHeight="1" s="33">
      <c r="A60" s="40" t="n">
        <v>51</v>
      </c>
      <c r="B60" s="41" t="inlineStr">
        <is>
          <t>マスタデータ管理（MDM）業務</t>
        </is>
      </c>
      <c r="C60" s="44" t="inlineStr">
        <is>
          <t>MDM運用要件</t>
        </is>
      </c>
      <c r="D60" s="41" t="inlineStr">
        <is>
          <t>マスタ変更管理</t>
        </is>
      </c>
      <c r="E60" s="41" t="inlineStr">
        <is>
          <t>大量変更時のバッチ処理対応（CSV一括インポート）</t>
        </is>
      </c>
      <c r="F60" s="43" t="n"/>
      <c r="G60" s="46" t="n"/>
    </row>
    <row r="61" ht="16" customHeight="1" s="33">
      <c r="A61" s="40" t="n">
        <v>52</v>
      </c>
      <c r="B61" s="41" t="inlineStr">
        <is>
          <t>マスタデータ管理（MDM）業務</t>
        </is>
      </c>
      <c r="C61" s="44" t="inlineStr">
        <is>
          <t>MDM運用要件</t>
        </is>
      </c>
      <c r="D61" s="41" t="inlineStr">
        <is>
          <t>名寄せ・データクレンジング</t>
        </is>
      </c>
      <c r="E61" s="41" t="inlineStr">
        <is>
          <t>協力会社マスタの名寄せ（類似名称の統合提案、AI支援）</t>
        </is>
      </c>
      <c r="F61" s="43" t="n"/>
      <c r="G61" s="46" t="n"/>
    </row>
    <row r="62" ht="16" customHeight="1" s="33">
      <c r="A62" s="40" t="n">
        <v>53</v>
      </c>
      <c r="B62" s="41" t="inlineStr">
        <is>
          <t>マスタデータ管理（MDM）業務</t>
        </is>
      </c>
      <c r="C62" s="44" t="inlineStr">
        <is>
          <t>MDM運用要件</t>
        </is>
      </c>
      <c r="D62" s="41" t="inlineStr">
        <is>
          <t>名寄せ・データクレンジング</t>
        </is>
      </c>
      <c r="E62" s="41" t="inlineStr">
        <is>
          <t>住所正規化（日本郵便APIとの連携）</t>
        </is>
      </c>
      <c r="F62" s="43" t="n"/>
      <c r="G62" s="46" t="n"/>
    </row>
    <row r="63" ht="16" customHeight="1" s="33">
      <c r="A63" s="40" t="n">
        <v>54</v>
      </c>
      <c r="B63" s="41" t="inlineStr">
        <is>
          <t>マスタデータ管理（MDM）業務</t>
        </is>
      </c>
      <c r="C63" s="44" t="inlineStr">
        <is>
          <t>MDM運用要件</t>
        </is>
      </c>
      <c r="D63" s="41" t="inlineStr">
        <is>
          <t>名寄せ・データクレンジング</t>
        </is>
      </c>
      <c r="E63" s="41" t="inlineStr">
        <is>
          <t>電話番号フォーマット統一</t>
        </is>
      </c>
      <c r="F63" s="43" t="n"/>
      <c r="G63" s="46" t="n"/>
    </row>
    <row r="64" ht="16" customHeight="1" s="33">
      <c r="A64" s="40" t="n">
        <v>55</v>
      </c>
      <c r="B64" s="41" t="inlineStr">
        <is>
          <t>マスタデータ管理（MDM）業務</t>
        </is>
      </c>
      <c r="C64" s="44" t="inlineStr">
        <is>
          <t>MDM運用要件</t>
        </is>
      </c>
      <c r="D64" s="41" t="inlineStr">
        <is>
          <t>名寄せ・データクレンジング</t>
        </is>
      </c>
      <c r="E64" s="41" t="inlineStr">
        <is>
          <t>法人番号（13桁）との照合による企業情報精度向上</t>
        </is>
      </c>
      <c r="F64" s="43" t="n"/>
      <c r="G64" s="46" t="n"/>
    </row>
    <row r="65" ht="32" customHeight="1" s="33">
      <c r="A65" s="38" t="inlineStr">
        <is>
          <t>■ データ分析基盤業務</t>
        </is>
      </c>
      <c r="B65" s="39" t="n"/>
      <c r="C65" s="39" t="n"/>
      <c r="D65" s="39" t="n"/>
      <c r="E65" s="39" t="n"/>
      <c r="F65" s="39" t="n"/>
      <c r="G65" s="39" t="n"/>
    </row>
    <row r="66" ht="16" customHeight="1" s="33">
      <c r="A66" s="40" t="n">
        <v>56</v>
      </c>
      <c r="B66" s="41" t="inlineStr">
        <is>
          <t>データ分析基盤業務</t>
        </is>
      </c>
      <c r="C66" s="44" t="inlineStr">
        <is>
          <t>BIデータマート提供</t>
        </is>
      </c>
      <c r="D66" s="41" t="inlineStr">
        <is>
          <t>セルフサービスBI要件</t>
        </is>
      </c>
      <c r="E66" s="44" t="inlineStr">
        <is>
          <t>BIツール: Grafana（運用系）+ Metabase（業務系）の二本立て</t>
        </is>
      </c>
      <c r="F66" s="43" t="n"/>
      <c r="G66" s="46" t="n"/>
    </row>
    <row r="67" ht="16" customHeight="1" s="33">
      <c r="A67" s="40" t="n">
        <v>57</v>
      </c>
      <c r="B67" s="41" t="inlineStr">
        <is>
          <t>データ分析基盤業務</t>
        </is>
      </c>
      <c r="C67" s="44" t="inlineStr">
        <is>
          <t>BIデータマート提供</t>
        </is>
      </c>
      <c r="D67" s="41" t="inlineStr">
        <is>
          <t>セルフサービスBI要件</t>
        </is>
      </c>
      <c r="E67" s="41" t="inlineStr">
        <is>
          <t>ダッシュボードテンプレート: 部門別標準ダッシュボードの事前定義</t>
        </is>
      </c>
      <c r="F67" s="43" t="n"/>
      <c r="G67" s="46" t="n"/>
    </row>
    <row r="68" ht="16" customHeight="1" s="33">
      <c r="A68" s="40" t="n">
        <v>58</v>
      </c>
      <c r="B68" s="41" t="inlineStr">
        <is>
          <t>データ分析基盤業務</t>
        </is>
      </c>
      <c r="C68" s="44" t="inlineStr">
        <is>
          <t>BIデータマート提供</t>
        </is>
      </c>
      <c r="D68" s="41" t="inlineStr">
        <is>
          <t>セルフサービスBI要件</t>
        </is>
      </c>
      <c r="E68" s="41" t="inlineStr">
        <is>
          <t>アドホック分析: 業務ユーザーがSQLなしでドラッグ&amp;ドロップ分析可能</t>
        </is>
      </c>
      <c r="F68" s="43" t="n"/>
      <c r="G68" s="46" t="n"/>
    </row>
    <row r="69" ht="16" customHeight="1" s="33">
      <c r="A69" s="40" t="n">
        <v>59</v>
      </c>
      <c r="B69" s="41" t="inlineStr">
        <is>
          <t>データ分析基盤業務</t>
        </is>
      </c>
      <c r="C69" s="44" t="inlineStr">
        <is>
          <t>BIデータマート提供</t>
        </is>
      </c>
      <c r="D69" s="41" t="inlineStr">
        <is>
          <t>セルフサービスBI要件</t>
        </is>
      </c>
      <c r="E69" s="41" t="inlineStr">
        <is>
          <t>レポート自動配信: PDF/Excel形式で定期配信（メール/Slack）</t>
        </is>
      </c>
      <c r="F69" s="43" t="n"/>
      <c r="G69" s="46" t="n"/>
    </row>
    <row r="70" ht="16" customHeight="1" s="33">
      <c r="A70" s="40" t="n">
        <v>60</v>
      </c>
      <c r="B70" s="41" t="inlineStr">
        <is>
          <t>データ分析基盤業務</t>
        </is>
      </c>
      <c r="C70" s="44" t="inlineStr">
        <is>
          <t>BIデータマート提供</t>
        </is>
      </c>
      <c r="D70" s="41" t="inlineStr">
        <is>
          <t>セルフサービスBI要件</t>
        </is>
      </c>
      <c r="E70" s="41" t="inlineStr">
        <is>
          <t>モバイル対応: PWAによる現場からのダッシュボード参照</t>
        </is>
      </c>
      <c r="F70" s="43" t="n"/>
      <c r="G70" s="46" t="n"/>
    </row>
    <row r="71" ht="32" customHeight="1" s="33">
      <c r="A71" s="40" t="n">
        <v>61</v>
      </c>
      <c r="B71" s="41" t="inlineStr">
        <is>
          <t>データ分析基盤業務</t>
        </is>
      </c>
      <c r="C71" s="44" t="inlineStr">
        <is>
          <t>AI/ML向けデータ提供</t>
        </is>
      </c>
      <c r="D71" s="41" t="inlineStr">
        <is>
          <t>特徴量ストア（Feature Store）</t>
        </is>
      </c>
      <c r="E71" s="41" t="inlineStr">
        <is>
          <t>全社AI/MLモデルで使用する特徴量の一元管理</t>
        </is>
      </c>
      <c r="F71" s="43" t="n"/>
      <c r="G71" s="46" t="n"/>
    </row>
    <row r="72" ht="32" customHeight="1" s="33">
      <c r="A72" s="40" t="n">
        <v>62</v>
      </c>
      <c r="B72" s="41" t="inlineStr">
        <is>
          <t>データ分析基盤業務</t>
        </is>
      </c>
      <c r="C72" s="44" t="inlineStr">
        <is>
          <t>AI/ML向けデータ提供</t>
        </is>
      </c>
      <c r="D72" s="41" t="inlineStr">
        <is>
          <t>特徴量ストア（Feature Store）</t>
        </is>
      </c>
      <c r="E72" s="41" t="inlineStr">
        <is>
          <t>オンライン特徴量（リアルタイム推論用）: Redis</t>
        </is>
      </c>
      <c r="F72" s="43" t="n"/>
      <c r="G72" s="46" t="n"/>
    </row>
    <row r="73" ht="32" customHeight="1" s="33">
      <c r="A73" s="40" t="n">
        <v>63</v>
      </c>
      <c r="B73" s="41" t="inlineStr">
        <is>
          <t>データ分析基盤業務</t>
        </is>
      </c>
      <c r="C73" s="44" t="inlineStr">
        <is>
          <t>AI/ML向けデータ提供</t>
        </is>
      </c>
      <c r="D73" s="41" t="inlineStr">
        <is>
          <t>特徴量ストア（Feature Store）</t>
        </is>
      </c>
      <c r="E73" s="41" t="inlineStr">
        <is>
          <t>オフライン特徴量（学習用）: PostgreSQL + Parquet</t>
        </is>
      </c>
      <c r="F73" s="43" t="n"/>
      <c r="G73" s="46" t="n"/>
    </row>
    <row r="74" ht="32" customHeight="1" s="33">
      <c r="A74" s="40" t="n">
        <v>64</v>
      </c>
      <c r="B74" s="41" t="inlineStr">
        <is>
          <t>データ分析基盤業務</t>
        </is>
      </c>
      <c r="C74" s="44" t="inlineStr">
        <is>
          <t>AI/ML向けデータ提供</t>
        </is>
      </c>
      <c r="D74" s="41" t="inlineStr">
        <is>
          <t>特徴量ストア（Feature Store）</t>
        </is>
      </c>
      <c r="E74" s="41" t="inlineStr">
        <is>
          <t>特徴量バージョニング、リネージ追跡</t>
        </is>
      </c>
      <c r="F74" s="43" t="n"/>
      <c r="G74" s="46" t="n"/>
    </row>
    <row r="75" ht="32" customHeight="1" s="33">
      <c r="A75" s="40" t="n">
        <v>65</v>
      </c>
      <c r="B75" s="41" t="inlineStr">
        <is>
          <t>データ分析基盤業務</t>
        </is>
      </c>
      <c r="C75" s="44" t="inlineStr">
        <is>
          <t>AI/ML向けデータ提供</t>
        </is>
      </c>
      <c r="D75" s="41" t="inlineStr">
        <is>
          <t>特徴量ストア（Feature Store）</t>
        </is>
      </c>
      <c r="E75" s="41" t="inlineStr">
        <is>
          <t>特徴量の再利用促進（カタログ化）</t>
        </is>
      </c>
      <c r="F75" s="43" t="n"/>
      <c r="G75" s="46" t="n"/>
    </row>
    <row r="76" ht="16" customHeight="1" s="33">
      <c r="A76" s="40" t="n">
        <v>66</v>
      </c>
      <c r="B76" s="41" t="inlineStr">
        <is>
          <t>データ分析基盤業務</t>
        </is>
      </c>
      <c r="C76" s="44" t="inlineStr">
        <is>
          <t>AI/ML向けデータ提供</t>
        </is>
      </c>
      <c r="D76" s="41" t="inlineStr">
        <is>
          <t>学習データセット管理</t>
        </is>
      </c>
      <c r="E76" s="41" t="inlineStr">
        <is>
          <t>モデル学習用データセットのバージョン管理（DVC互換）</t>
        </is>
      </c>
      <c r="F76" s="43" t="n"/>
      <c r="G76" s="46" t="n"/>
    </row>
    <row r="77" ht="16" customHeight="1" s="33">
      <c r="A77" s="40" t="n">
        <v>67</v>
      </c>
      <c r="B77" s="41" t="inlineStr">
        <is>
          <t>データ分析基盤業務</t>
        </is>
      </c>
      <c r="C77" s="44" t="inlineStr">
        <is>
          <t>AI/ML向けデータ提供</t>
        </is>
      </c>
      <c r="D77" s="41" t="inlineStr">
        <is>
          <t>学習データセット管理</t>
        </is>
      </c>
      <c r="E77" s="41" t="inlineStr">
        <is>
          <t>アノテーションデータの管理（画像ラベリング結果等）</t>
        </is>
      </c>
      <c r="F77" s="43" t="n"/>
      <c r="G77" s="46" t="n"/>
    </row>
    <row r="78" ht="16" customHeight="1" s="33">
      <c r="A78" s="40" t="n">
        <v>68</v>
      </c>
      <c r="B78" s="41" t="inlineStr">
        <is>
          <t>データ分析基盤業務</t>
        </is>
      </c>
      <c r="C78" s="44" t="inlineStr">
        <is>
          <t>AI/ML向けデータ提供</t>
        </is>
      </c>
      <c r="D78" s="41" t="inlineStr">
        <is>
          <t>学習データセット管理</t>
        </is>
      </c>
      <c r="E78" s="41" t="inlineStr">
        <is>
          <t>データセット分割（train/validation/test）の再現性保証</t>
        </is>
      </c>
      <c r="F78" s="43" t="n"/>
      <c r="G78" s="46" t="n"/>
    </row>
    <row r="79" ht="16" customHeight="1" s="33">
      <c r="A79" s="40" t="n">
        <v>69</v>
      </c>
      <c r="B79" s="41" t="inlineStr">
        <is>
          <t>データ分析基盤業務</t>
        </is>
      </c>
      <c r="C79" s="44" t="inlineStr">
        <is>
          <t>AI/ML向けデータ提供</t>
        </is>
      </c>
      <c r="D79" s="41" t="inlineStr">
        <is>
          <t>学習データセット管理</t>
        </is>
      </c>
      <c r="E79" s="41" t="inlineStr">
        <is>
          <t>データバイアス検出・公平性チェック</t>
        </is>
      </c>
      <c r="F79" s="43" t="n"/>
      <c r="G79" s="46" t="n"/>
    </row>
    <row r="80" ht="32" customHeight="1" s="33">
      <c r="A80" s="45" t="inlineStr">
        <is>
          <t>■ MLOps業務</t>
        </is>
      </c>
      <c r="B80" s="39" t="n"/>
      <c r="C80" s="39" t="n"/>
      <c r="D80" s="39" t="n"/>
      <c r="E80" s="39" t="n"/>
      <c r="F80" s="39" t="n"/>
      <c r="G80" s="39" t="n"/>
    </row>
    <row r="81" ht="16" customHeight="1" s="33">
      <c r="A81" s="40" t="n">
        <v>70</v>
      </c>
      <c r="B81" s="44" t="inlineStr">
        <is>
          <t>MLOps業務</t>
        </is>
      </c>
      <c r="C81" s="41" t="inlineStr">
        <is>
          <t>モデルライフサイクル管理</t>
        </is>
      </c>
      <c r="D81" s="44" t="inlineStr">
        <is>
          <t>MLOpsパイプライン要件</t>
        </is>
      </c>
      <c r="E81" s="41" t="inlineStr">
        <is>
          <t>実験管理: MLflow によるパラメータ・メトリクス・アーティファクト追跡</t>
        </is>
      </c>
      <c r="F81" s="43" t="n"/>
      <c r="G81" s="46" t="n"/>
    </row>
    <row r="82" ht="16" customHeight="1" s="33">
      <c r="A82" s="40" t="n">
        <v>71</v>
      </c>
      <c r="B82" s="44" t="inlineStr">
        <is>
          <t>MLOps業務</t>
        </is>
      </c>
      <c r="C82" s="41" t="inlineStr">
        <is>
          <t>モデルライフサイクル管理</t>
        </is>
      </c>
      <c r="D82" s="44" t="inlineStr">
        <is>
          <t>MLOpsパイプライン要件</t>
        </is>
      </c>
      <c r="E82" s="41" t="inlineStr">
        <is>
          <t>モデル登録: MLflow Model Registry によるバージョン管理</t>
        </is>
      </c>
      <c r="F82" s="43" t="n"/>
      <c r="G82" s="46" t="n"/>
    </row>
    <row r="83" ht="16" customHeight="1" s="33">
      <c r="A83" s="40" t="n">
        <v>72</v>
      </c>
      <c r="B83" s="44" t="inlineStr">
        <is>
          <t>MLOps業務</t>
        </is>
      </c>
      <c r="C83" s="41" t="inlineStr">
        <is>
          <t>モデルライフサイクル管理</t>
        </is>
      </c>
      <c r="D83" s="44" t="inlineStr">
        <is>
          <t>MLOpsパイプライン要件</t>
        </is>
      </c>
      <c r="E83" s="41" t="inlineStr">
        <is>
          <t>モデルステージ: Staging → Production → Archived の3段階</t>
        </is>
      </c>
      <c r="F83" s="43" t="n"/>
      <c r="G83" s="46" t="n"/>
    </row>
    <row r="84" ht="16" customHeight="1" s="33">
      <c r="A84" s="40" t="n">
        <v>73</v>
      </c>
      <c r="B84" s="44" t="inlineStr">
        <is>
          <t>MLOps業務</t>
        </is>
      </c>
      <c r="C84" s="41" t="inlineStr">
        <is>
          <t>モデルライフサイクル管理</t>
        </is>
      </c>
      <c r="D84" s="44" t="inlineStr">
        <is>
          <t>MLOpsパイプライン要件</t>
        </is>
      </c>
      <c r="E84" s="41" t="inlineStr">
        <is>
          <t>自動再学習: データドリフト検出時の自動再学習トリガー</t>
        </is>
      </c>
      <c r="F84" s="43" t="n"/>
      <c r="G84" s="46" t="n"/>
    </row>
    <row r="85" ht="16" customHeight="1" s="33">
      <c r="A85" s="40" t="n">
        <v>74</v>
      </c>
      <c r="B85" s="44" t="inlineStr">
        <is>
          <t>MLOps業務</t>
        </is>
      </c>
      <c r="C85" s="41" t="inlineStr">
        <is>
          <t>モデルライフサイクル管理</t>
        </is>
      </c>
      <c r="D85" s="44" t="inlineStr">
        <is>
          <t>MLOpsパイプライン要件</t>
        </is>
      </c>
      <c r="E85" s="44" t="inlineStr">
        <is>
          <t>A/Bテスト: 新モデルの段階的ロールアウト（カナリアデプロイ）</t>
        </is>
      </c>
      <c r="F85" s="43" t="n"/>
      <c r="G85" s="46" t="n"/>
    </row>
    <row r="86" ht="16" customHeight="1" s="33">
      <c r="A86" s="40" t="n">
        <v>75</v>
      </c>
      <c r="B86" s="44" t="inlineStr">
        <is>
          <t>MLOps業務</t>
        </is>
      </c>
      <c r="C86" s="41" t="inlineStr">
        <is>
          <t>モデルライフサイクル管理</t>
        </is>
      </c>
      <c r="D86" s="44" t="inlineStr">
        <is>
          <t>MLOpsパイプライン要件</t>
        </is>
      </c>
      <c r="E86" s="41" t="inlineStr">
        <is>
          <t>モデル監視: 推論精度、レイテンシ、データドリフトの継続的監視</t>
        </is>
      </c>
      <c r="F86" s="43" t="n"/>
      <c r="G86" s="46" t="n"/>
    </row>
    <row r="87" ht="16" customHeight="1" s="33">
      <c r="A87" s="40" t="n">
        <v>76</v>
      </c>
      <c r="B87" s="44" t="inlineStr">
        <is>
          <t>MLOps業務</t>
        </is>
      </c>
      <c r="C87" s="41" t="inlineStr">
        <is>
          <t>モデルライフサイクル管理</t>
        </is>
      </c>
      <c r="D87" s="41" t="inlineStr">
        <is>
          <t>モデルガバナンス</t>
        </is>
      </c>
      <c r="E87" s="41" t="inlineStr">
        <is>
          <t>モデルカード（目的、学習データ、性能指標、制約事項）の必須記載</t>
        </is>
      </c>
      <c r="F87" s="43" t="n"/>
      <c r="G87" s="46" t="n"/>
    </row>
    <row r="88" ht="16" customHeight="1" s="33">
      <c r="A88" s="40" t="n">
        <v>77</v>
      </c>
      <c r="B88" s="44" t="inlineStr">
        <is>
          <t>MLOps業務</t>
        </is>
      </c>
      <c r="C88" s="41" t="inlineStr">
        <is>
          <t>モデルライフサイクル管理</t>
        </is>
      </c>
      <c r="D88" s="41" t="inlineStr">
        <is>
          <t>モデルガバナンス</t>
        </is>
      </c>
      <c r="E88" s="41" t="inlineStr">
        <is>
          <t>公平性・バイアス評価レポートの作成</t>
        </is>
      </c>
      <c r="F88" s="43" t="n"/>
      <c r="G88" s="46" t="n"/>
    </row>
    <row r="89" ht="16" customHeight="1" s="33">
      <c r="A89" s="40" t="n">
        <v>78</v>
      </c>
      <c r="B89" s="44" t="inlineStr">
        <is>
          <t>MLOps業務</t>
        </is>
      </c>
      <c r="C89" s="41" t="inlineStr">
        <is>
          <t>モデルライフサイクル管理</t>
        </is>
      </c>
      <c r="D89" s="41" t="inlineStr">
        <is>
          <t>モデルガバナンス</t>
        </is>
      </c>
      <c r="E89" s="41" t="inlineStr">
        <is>
          <t>モデル利用の監査ログ記録</t>
        </is>
      </c>
      <c r="F89" s="43" t="n"/>
      <c r="G89" s="46" t="n"/>
    </row>
    <row r="90" ht="16" customHeight="1" s="33">
      <c r="A90" s="40" t="n">
        <v>79</v>
      </c>
      <c r="B90" s="44" t="inlineStr">
        <is>
          <t>MLOps業務</t>
        </is>
      </c>
      <c r="C90" s="41" t="inlineStr">
        <is>
          <t>モデルライフサイクル管理</t>
        </is>
      </c>
      <c r="D90" s="41" t="inlineStr">
        <is>
          <t>モデルガバナンス</t>
        </is>
      </c>
      <c r="E90" s="44" t="inlineStr">
        <is>
          <t>AI利用ガイドラインへの準拠チェック</t>
        </is>
      </c>
      <c r="F90" s="43" t="n"/>
      <c r="G90" s="46" t="n"/>
    </row>
    <row r="91" ht="16" customHeight="1" s="33">
      <c r="A91" s="40" t="n">
        <v>80</v>
      </c>
      <c r="B91" s="44" t="inlineStr">
        <is>
          <t>MLOps業務</t>
        </is>
      </c>
      <c r="C91" s="44" t="inlineStr">
        <is>
          <t>Azure OpenAI運用管理</t>
        </is>
      </c>
      <c r="D91" s="44" t="inlineStr">
        <is>
          <t>LLM利用管理</t>
        </is>
      </c>
      <c r="E91" s="44" t="inlineStr">
        <is>
          <t>APIキーのローテーション管理（90日サイクル）</t>
        </is>
      </c>
      <c r="F91" s="43" t="n"/>
      <c r="G91" s="46" t="n"/>
    </row>
    <row r="92" ht="16" customHeight="1" s="33">
      <c r="A92" s="40" t="n">
        <v>81</v>
      </c>
      <c r="B92" s="44" t="inlineStr">
        <is>
          <t>MLOps業務</t>
        </is>
      </c>
      <c r="C92" s="44" t="inlineStr">
        <is>
          <t>Azure OpenAI運用管理</t>
        </is>
      </c>
      <c r="D92" s="44" t="inlineStr">
        <is>
          <t>LLM利用管理</t>
        </is>
      </c>
      <c r="E92" s="41" t="inlineStr">
        <is>
          <t>利用量モニタリング（トークン数、APIコール数、コスト）</t>
        </is>
      </c>
      <c r="F92" s="43" t="n"/>
      <c r="G92" s="46" t="n"/>
    </row>
    <row r="93" ht="16" customHeight="1" s="33">
      <c r="A93" s="40" t="n">
        <v>82</v>
      </c>
      <c r="B93" s="44" t="inlineStr">
        <is>
          <t>MLOps業務</t>
        </is>
      </c>
      <c r="C93" s="44" t="inlineStr">
        <is>
          <t>Azure OpenAI運用管理</t>
        </is>
      </c>
      <c r="D93" s="44" t="inlineStr">
        <is>
          <t>LLM利用管理</t>
        </is>
      </c>
      <c r="E93" s="41" t="inlineStr">
        <is>
          <t>レート制限管理（部門別クォータ設定）</t>
        </is>
      </c>
      <c r="F93" s="43" t="n"/>
      <c r="G93" s="46" t="n"/>
    </row>
    <row r="94" ht="16" customHeight="1" s="33">
      <c r="A94" s="40" t="n">
        <v>83</v>
      </c>
      <c r="B94" s="44" t="inlineStr">
        <is>
          <t>MLOps業務</t>
        </is>
      </c>
      <c r="C94" s="44" t="inlineStr">
        <is>
          <t>Azure OpenAI運用管理</t>
        </is>
      </c>
      <c r="D94" s="44" t="inlineStr">
        <is>
          <t>LLM利用管理</t>
        </is>
      </c>
      <c r="E94" s="41" t="inlineStr">
        <is>
          <t>プロンプトテンプレートのバージョン管理</t>
        </is>
      </c>
      <c r="F94" s="43" t="n"/>
      <c r="G94" s="46" t="n"/>
    </row>
    <row r="95" ht="16" customHeight="1" s="33">
      <c r="A95" s="40" t="n">
        <v>84</v>
      </c>
      <c r="B95" s="44" t="inlineStr">
        <is>
          <t>MLOps業務</t>
        </is>
      </c>
      <c r="C95" s="44" t="inlineStr">
        <is>
          <t>Azure OpenAI運用管理</t>
        </is>
      </c>
      <c r="D95" s="44" t="inlineStr">
        <is>
          <t>LLM利用管理</t>
        </is>
      </c>
      <c r="E95" s="44" t="inlineStr">
        <is>
          <t>RAG用ベクトルDBのインデックス管理（pgvector）</t>
        </is>
      </c>
      <c r="F95" s="43" t="n"/>
      <c r="G95" s="46" t="n"/>
    </row>
    <row r="96" ht="16" customHeight="1" s="33">
      <c r="A96" s="40" t="n">
        <v>85</v>
      </c>
      <c r="B96" s="44" t="inlineStr">
        <is>
          <t>MLOps業務</t>
        </is>
      </c>
      <c r="C96" s="44" t="inlineStr">
        <is>
          <t>Azure OpenAI運用管理</t>
        </is>
      </c>
      <c r="D96" s="44" t="inlineStr">
        <is>
          <t>LLMセキュリティ</t>
        </is>
      </c>
      <c r="E96" s="41" t="inlineStr">
        <is>
          <t>プロンプトインジェクション対策（入力サニタイズ）</t>
        </is>
      </c>
      <c r="F96" s="43" t="n"/>
      <c r="G96" s="46" t="n"/>
    </row>
    <row r="97" ht="16" customHeight="1" s="33">
      <c r="A97" s="40" t="n">
        <v>86</v>
      </c>
      <c r="B97" s="44" t="inlineStr">
        <is>
          <t>MLOps業務</t>
        </is>
      </c>
      <c r="C97" s="44" t="inlineStr">
        <is>
          <t>Azure OpenAI運用管理</t>
        </is>
      </c>
      <c r="D97" s="44" t="inlineStr">
        <is>
          <t>LLMセキュリティ</t>
        </is>
      </c>
      <c r="E97" s="41" t="inlineStr">
        <is>
          <t>出力フィルタリング（個人情報、機密情報の漏洩防止）</t>
        </is>
      </c>
      <c r="F97" s="43" t="n"/>
      <c r="G97" s="46" t="n"/>
    </row>
    <row r="98" ht="16" customHeight="1" s="33">
      <c r="A98" s="40" t="n">
        <v>87</v>
      </c>
      <c r="B98" s="44" t="inlineStr">
        <is>
          <t>MLOps業務</t>
        </is>
      </c>
      <c r="C98" s="44" t="inlineStr">
        <is>
          <t>Azure OpenAI運用管理</t>
        </is>
      </c>
      <c r="D98" s="44" t="inlineStr">
        <is>
          <t>LLMセキュリティ</t>
        </is>
      </c>
      <c r="E98" s="41" t="inlineStr">
        <is>
          <t>利用ログの完全記録（監査対応）</t>
        </is>
      </c>
      <c r="F98" s="43" t="n"/>
      <c r="G98" s="46" t="n"/>
    </row>
    <row r="99" ht="16" customHeight="1" s="33">
      <c r="A99" s="40" t="n">
        <v>88</v>
      </c>
      <c r="B99" s="44" t="inlineStr">
        <is>
          <t>MLOps業務</t>
        </is>
      </c>
      <c r="C99" s="44" t="inlineStr">
        <is>
          <t>Azure OpenAI運用管理</t>
        </is>
      </c>
      <c r="D99" s="44" t="inlineStr">
        <is>
          <t>LLMセキュリティ</t>
        </is>
      </c>
      <c r="E99" s="41" t="inlineStr">
        <is>
          <t>社内データのみを参照するクローズド環境での運用</t>
        </is>
      </c>
      <c r="F99" s="43" t="n"/>
      <c r="G99" s="46" t="n"/>
    </row>
    <row r="100" ht="32" customHeight="1" s="33">
      <c r="A100" s="38" t="inlineStr">
        <is>
          <t>■ デジタルツイン運用業務</t>
        </is>
      </c>
      <c r="B100" s="39" t="n"/>
      <c r="C100" s="39" t="n"/>
      <c r="D100" s="39" t="n"/>
      <c r="E100" s="39" t="n"/>
      <c r="F100" s="39" t="n"/>
      <c r="G100" s="39" t="n"/>
    </row>
    <row r="101" ht="16" customHeight="1" s="33">
      <c r="A101" s="40" t="n">
        <v>89</v>
      </c>
      <c r="B101" s="41" t="inlineStr">
        <is>
          <t>デジタルツイン運用業務</t>
        </is>
      </c>
      <c r="C101" s="44" t="inlineStr">
        <is>
          <t>3Dモデル管理</t>
        </is>
      </c>
      <c r="D101" s="44" t="inlineStr">
        <is>
          <t>3Dビューア要件</t>
        </is>
      </c>
      <c r="E101" s="44" t="inlineStr">
        <is>
          <t>Webビューア: IFC.js + Three.js によるブラウザベース3D表示</t>
        </is>
      </c>
      <c r="F101" s="43" t="n"/>
      <c r="G101" s="46" t="n"/>
    </row>
    <row r="102" ht="16" customHeight="1" s="33">
      <c r="A102" s="40" t="n">
        <v>90</v>
      </c>
      <c r="B102" s="41" t="inlineStr">
        <is>
          <t>デジタルツイン運用業務</t>
        </is>
      </c>
      <c r="C102" s="44" t="inlineStr">
        <is>
          <t>3Dモデル管理</t>
        </is>
      </c>
      <c r="D102" s="44" t="inlineStr">
        <is>
          <t>3Dビューア要件</t>
        </is>
      </c>
      <c r="E102" s="41" t="inlineStr">
        <is>
          <t>地理空間統合: CesiumJS による地球規模の3Dマップ上への配置</t>
        </is>
      </c>
      <c r="F102" s="43" t="n"/>
      <c r="G102" s="46" t="n"/>
    </row>
    <row r="103" ht="16" customHeight="1" s="33">
      <c r="A103" s="40" t="n">
        <v>91</v>
      </c>
      <c r="B103" s="41" t="inlineStr">
        <is>
          <t>デジタルツイン運用業務</t>
        </is>
      </c>
      <c r="C103" s="44" t="inlineStr">
        <is>
          <t>3Dモデル管理</t>
        </is>
      </c>
      <c r="D103" s="44" t="inlineStr">
        <is>
          <t>3Dビューア要件</t>
        </is>
      </c>
      <c r="E103" s="44" t="inlineStr">
        <is>
          <t>IoTオーバーレイ: センサーデータのリアルタイム3D重畳表示</t>
        </is>
      </c>
      <c r="F103" s="43" t="n"/>
      <c r="G103" s="46" t="n"/>
    </row>
    <row r="104" ht="16" customHeight="1" s="33">
      <c r="A104" s="40" t="n">
        <v>92</v>
      </c>
      <c r="B104" s="41" t="inlineStr">
        <is>
          <t>デジタルツイン運用業務</t>
        </is>
      </c>
      <c r="C104" s="44" t="inlineStr">
        <is>
          <t>3Dモデル管理</t>
        </is>
      </c>
      <c r="D104" s="44" t="inlineStr">
        <is>
          <t>3Dビューア要件</t>
        </is>
      </c>
      <c r="E104" s="41" t="inlineStr">
        <is>
          <t>時系列再生: 施工進捗のタイムラプス表示（4Dシミュレーション）</t>
        </is>
      </c>
      <c r="F104" s="43" t="n"/>
      <c r="G104" s="46" t="n"/>
    </row>
    <row r="105" ht="16" customHeight="1" s="33">
      <c r="A105" s="40" t="n">
        <v>93</v>
      </c>
      <c r="B105" s="41" t="inlineStr">
        <is>
          <t>デジタルツイン運用業務</t>
        </is>
      </c>
      <c r="C105" s="44" t="inlineStr">
        <is>
          <t>3Dモデル管理</t>
        </is>
      </c>
      <c r="D105" s="44" t="inlineStr">
        <is>
          <t>3Dビューア要件</t>
        </is>
      </c>
      <c r="E105" s="44" t="inlineStr">
        <is>
          <t>AR連携: モバイルデバイスでのAR表示（WebXR）</t>
        </is>
      </c>
      <c r="F105" s="43" t="n"/>
      <c r="G105" s="46" t="n"/>
    </row>
    <row r="106" ht="16" customHeight="1" s="33">
      <c r="A106" s="40" t="n">
        <v>94</v>
      </c>
      <c r="B106" s="41" t="inlineStr">
        <is>
          <t>デジタルツイン運用業務</t>
        </is>
      </c>
      <c r="C106" s="44" t="inlineStr">
        <is>
          <t>3Dモデル管理</t>
        </is>
      </c>
      <c r="D106" s="44" t="inlineStr">
        <is>
          <t>3Dビューア要件</t>
        </is>
      </c>
      <c r="E106" s="41" t="inlineStr">
        <is>
          <t>オフライン対応: PWAによるモデルのローカルキャッシュ</t>
        </is>
      </c>
      <c r="F106" s="43" t="n"/>
      <c r="G106" s="46" t="n"/>
    </row>
    <row r="107" ht="16" customHeight="1" s="33">
      <c r="A107" s="40" t="n">
        <v>95</v>
      </c>
      <c r="B107" s="41" t="inlineStr">
        <is>
          <t>デジタルツイン運用業務</t>
        </is>
      </c>
      <c r="C107" s="41" t="inlineStr">
        <is>
          <t>シミュレーション・予測</t>
        </is>
      </c>
      <c r="D107" s="41" t="inlineStr">
        <is>
          <t>シミュレーション機能</t>
        </is>
      </c>
      <c r="E107" s="41" t="inlineStr">
        <is>
          <t>施工シミュレーション: 工程計画に基づく4D施工シミュレーション</t>
        </is>
      </c>
      <c r="F107" s="43" t="n"/>
      <c r="G107" s="46" t="n"/>
    </row>
    <row r="108" ht="16" customHeight="1" s="33">
      <c r="A108" s="40" t="n">
        <v>96</v>
      </c>
      <c r="B108" s="41" t="inlineStr">
        <is>
          <t>デジタルツイン運用業務</t>
        </is>
      </c>
      <c r="C108" s="41" t="inlineStr">
        <is>
          <t>シミュレーション・予測</t>
        </is>
      </c>
      <c r="D108" s="41" t="inlineStr">
        <is>
          <t>シミュレーション機能</t>
        </is>
      </c>
      <c r="E108" s="41" t="inlineStr">
        <is>
          <t>安全シミュレーション: 重機動線・作業員動線の干渉チェック</t>
        </is>
      </c>
      <c r="F108" s="43" t="n"/>
      <c r="G108" s="46" t="n"/>
    </row>
    <row r="109" ht="16" customHeight="1" s="33">
      <c r="A109" s="40" t="n">
        <v>97</v>
      </c>
      <c r="B109" s="41" t="inlineStr">
        <is>
          <t>デジタルツイン運用業務</t>
        </is>
      </c>
      <c r="C109" s="41" t="inlineStr">
        <is>
          <t>シミュレーション・予測</t>
        </is>
      </c>
      <c r="D109" s="41" t="inlineStr">
        <is>
          <t>シミュレーション機能</t>
        </is>
      </c>
      <c r="E109" s="41" t="inlineStr">
        <is>
          <t>環境影響シミュレーション: 騒音・振動・粉塵の拡散予測</t>
        </is>
      </c>
      <c r="F109" s="43" t="n"/>
      <c r="G109" s="46" t="n"/>
    </row>
    <row r="110" ht="16" customHeight="1" s="33">
      <c r="A110" s="40" t="n">
        <v>98</v>
      </c>
      <c r="B110" s="41" t="inlineStr">
        <is>
          <t>デジタルツイン運用業務</t>
        </is>
      </c>
      <c r="C110" s="41" t="inlineStr">
        <is>
          <t>シミュレーション・予測</t>
        </is>
      </c>
      <c r="D110" s="41" t="inlineStr">
        <is>
          <t>シミュレーション機能</t>
        </is>
      </c>
      <c r="E110" s="41" t="inlineStr">
        <is>
          <t>構造解析連携: FEMモデルとの連携による応力解析結果の3D表示</t>
        </is>
      </c>
      <c r="F110" s="43" t="n"/>
      <c r="G110" s="46" t="n"/>
    </row>
    <row r="111" ht="16" customHeight="1" s="33">
      <c r="A111" s="40" t="n">
        <v>99</v>
      </c>
      <c r="B111" s="41" t="inlineStr">
        <is>
          <t>デジタルツイン運用業務</t>
        </is>
      </c>
      <c r="C111" s="41" t="inlineStr">
        <is>
          <t>シミュレーション・予測</t>
        </is>
      </c>
      <c r="D111" s="41" t="inlineStr">
        <is>
          <t>シミュレーション機能</t>
        </is>
      </c>
      <c r="E111" s="41" t="inlineStr">
        <is>
          <t>洪水・災害シミュレーション: 地形データ+気象データによるリスク可視化</t>
        </is>
      </c>
      <c r="F111" s="43" t="n"/>
      <c r="G111" s="46" t="n"/>
    </row>
    <row r="112" ht="48" customHeight="1" s="33">
      <c r="A112" s="45" t="inlineStr">
        <is>
          <t>■ API Gateway管理業務</t>
        </is>
      </c>
      <c r="B112" s="39" t="n"/>
      <c r="C112" s="39" t="n"/>
      <c r="D112" s="39" t="n"/>
      <c r="E112" s="39" t="n"/>
      <c r="F112" s="39" t="n"/>
      <c r="G112" s="39" t="n"/>
    </row>
    <row r="113" ht="16" customHeight="1" s="33">
      <c r="A113" s="40" t="n">
        <v>100</v>
      </c>
      <c r="B113" s="44" t="inlineStr">
        <is>
          <t>API Gateway管理業務</t>
        </is>
      </c>
      <c r="C113" s="44" t="inlineStr">
        <is>
          <t>API管理要件</t>
        </is>
      </c>
      <c r="D113" s="44" t="inlineStr">
        <is>
          <t>API Gateway機能</t>
        </is>
      </c>
      <c r="E113" s="41" t="inlineStr">
        <is>
          <t>認証・認可: OAuth 2.0 / JWT（Entra ID連携）</t>
        </is>
      </c>
      <c r="F113" s="43" t="n"/>
      <c r="G113" s="46" t="n"/>
    </row>
    <row r="114" ht="16" customHeight="1" s="33">
      <c r="A114" s="40" t="n">
        <v>101</v>
      </c>
      <c r="B114" s="44" t="inlineStr">
        <is>
          <t>API Gateway管理業務</t>
        </is>
      </c>
      <c r="C114" s="44" t="inlineStr">
        <is>
          <t>API管理要件</t>
        </is>
      </c>
      <c r="D114" s="44" t="inlineStr">
        <is>
          <t>API Gateway機能</t>
        </is>
      </c>
      <c r="E114" s="41" t="inlineStr">
        <is>
          <t>レート制限: 部門別・アプリケーション別のAPI呼び出し制限</t>
        </is>
      </c>
      <c r="F114" s="43" t="n"/>
      <c r="G114" s="46" t="n"/>
    </row>
    <row r="115" ht="16" customHeight="1" s="33">
      <c r="A115" s="40" t="n">
        <v>102</v>
      </c>
      <c r="B115" s="44" t="inlineStr">
        <is>
          <t>API Gateway管理業務</t>
        </is>
      </c>
      <c r="C115" s="44" t="inlineStr">
        <is>
          <t>API管理要件</t>
        </is>
      </c>
      <c r="D115" s="44" t="inlineStr">
        <is>
          <t>API Gateway機能</t>
        </is>
      </c>
      <c r="E115" s="44" t="inlineStr">
        <is>
          <t>APIバージョニング: URL パスベース（/api/v1/, /api/v2/）</t>
        </is>
      </c>
      <c r="F115" s="43" t="n"/>
      <c r="G115" s="46" t="n"/>
    </row>
    <row r="116" ht="16" customHeight="1" s="33">
      <c r="A116" s="40" t="n">
        <v>103</v>
      </c>
      <c r="B116" s="44" t="inlineStr">
        <is>
          <t>API Gateway管理業務</t>
        </is>
      </c>
      <c r="C116" s="44" t="inlineStr">
        <is>
          <t>API管理要件</t>
        </is>
      </c>
      <c r="D116" s="44" t="inlineStr">
        <is>
          <t>API Gateway機能</t>
        </is>
      </c>
      <c r="E116" s="44" t="inlineStr">
        <is>
          <t>APIドキュメント: OpenAPI 3.0仕様の自動生成・公開</t>
        </is>
      </c>
      <c r="F116" s="43" t="n"/>
      <c r="G116" s="46" t="n"/>
    </row>
    <row r="117" ht="16" customHeight="1" s="33">
      <c r="A117" s="40" t="n">
        <v>104</v>
      </c>
      <c r="B117" s="44" t="inlineStr">
        <is>
          <t>API Gateway管理業務</t>
        </is>
      </c>
      <c r="C117" s="44" t="inlineStr">
        <is>
          <t>API管理要件</t>
        </is>
      </c>
      <c r="D117" s="44" t="inlineStr">
        <is>
          <t>API Gateway機能</t>
        </is>
      </c>
      <c r="E117" s="41" t="inlineStr">
        <is>
          <t>ヘルスチェック: 各バックエンドサービスの死活監視</t>
        </is>
      </c>
      <c r="F117" s="43" t="n"/>
      <c r="G117" s="46" t="n"/>
    </row>
    <row r="118" ht="16" customHeight="1" s="33">
      <c r="A118" s="40" t="n">
        <v>105</v>
      </c>
      <c r="B118" s="44" t="inlineStr">
        <is>
          <t>API Gateway管理業務</t>
        </is>
      </c>
      <c r="C118" s="44" t="inlineStr">
        <is>
          <t>API管理要件</t>
        </is>
      </c>
      <c r="D118" s="44" t="inlineStr">
        <is>
          <t>API Gateway機能</t>
        </is>
      </c>
      <c r="E118" s="41" t="inlineStr">
        <is>
          <t>キャッシュ: 高頻度リクエストのレスポンスキャッシュ（Redis）</t>
        </is>
      </c>
      <c r="F118" s="43" t="n"/>
      <c r="G118" s="46" t="n"/>
    </row>
    <row r="119" ht="16" customHeight="1" s="33">
      <c r="A119" s="40" t="n">
        <v>106</v>
      </c>
      <c r="B119" s="44" t="inlineStr">
        <is>
          <t>API Gateway管理業務</t>
        </is>
      </c>
      <c r="C119" s="44" t="inlineStr">
        <is>
          <t>API管理要件</t>
        </is>
      </c>
      <c r="D119" s="44" t="inlineStr">
        <is>
          <t>API利用分析</t>
        </is>
      </c>
      <c r="E119" s="44" t="inlineStr">
        <is>
          <t>APIエンドポイント別の呼び出し回数・レイテンシ追跡</t>
        </is>
      </c>
      <c r="F119" s="43" t="n"/>
      <c r="G119" s="46" t="n"/>
    </row>
    <row r="120" ht="16" customHeight="1" s="33">
      <c r="A120" s="40" t="n">
        <v>107</v>
      </c>
      <c r="B120" s="44" t="inlineStr">
        <is>
          <t>API Gateway管理業務</t>
        </is>
      </c>
      <c r="C120" s="44" t="inlineStr">
        <is>
          <t>API管理要件</t>
        </is>
      </c>
      <c r="D120" s="44" t="inlineStr">
        <is>
          <t>API利用分析</t>
        </is>
      </c>
      <c r="E120" s="41" t="inlineStr">
        <is>
          <t>エラー率モニタリング（4xx/5xx）</t>
        </is>
      </c>
      <c r="F120" s="43" t="n"/>
      <c r="G120" s="46" t="n"/>
    </row>
    <row r="121" ht="16" customHeight="1" s="33">
      <c r="A121" s="40" t="n">
        <v>108</v>
      </c>
      <c r="B121" s="44" t="inlineStr">
        <is>
          <t>API Gateway管理業務</t>
        </is>
      </c>
      <c r="C121" s="44" t="inlineStr">
        <is>
          <t>API管理要件</t>
        </is>
      </c>
      <c r="D121" s="44" t="inlineStr">
        <is>
          <t>API利用分析</t>
        </is>
      </c>
      <c r="E121" s="41" t="inlineStr">
        <is>
          <t>利用者別のAPI消費量レポート</t>
        </is>
      </c>
      <c r="F121" s="43" t="n"/>
      <c r="G121" s="46" t="n"/>
    </row>
    <row r="122" ht="16" customHeight="1" s="33">
      <c r="A122" s="40" t="n">
        <v>109</v>
      </c>
      <c r="B122" s="44" t="inlineStr">
        <is>
          <t>API Gateway管理業務</t>
        </is>
      </c>
      <c r="C122" s="44" t="inlineStr">
        <is>
          <t>API管理要件</t>
        </is>
      </c>
      <c r="D122" s="44" t="inlineStr">
        <is>
          <t>API利用分析</t>
        </is>
      </c>
      <c r="E122" s="41" t="inlineStr">
        <is>
          <t>非推奨API（Deprecated）の利用状況追跡・移行促進</t>
        </is>
      </c>
      <c r="F122" s="43" t="n"/>
      <c r="G122" s="46" t="n"/>
    </row>
    <row r="123" ht="48" customHeight="1" s="33">
      <c r="A123" s="38" t="inlineStr">
        <is>
          <t>■ データレイクストレージ運用業務</t>
        </is>
      </c>
      <c r="B123" s="39" t="n"/>
      <c r="C123" s="39" t="n"/>
      <c r="D123" s="39" t="n"/>
      <c r="E123" s="39" t="n"/>
      <c r="F123" s="39" t="n"/>
      <c r="G123" s="39" t="n"/>
    </row>
    <row r="124" ht="16" customHeight="1" s="33">
      <c r="A124" s="40" t="n">
        <v>110</v>
      </c>
      <c r="B124" s="41" t="inlineStr">
        <is>
          <t>データレイクストレージ運用業務</t>
        </is>
      </c>
      <c r="C124" s="41" t="inlineStr">
        <is>
          <t>ストレージ階層管理</t>
        </is>
      </c>
      <c r="D124" s="41" t="inlineStr">
        <is>
          <t>ライフサイクルポリシー</t>
        </is>
      </c>
      <c r="E124" s="41" t="inlineStr">
        <is>
          <t>データ分類に基づく自動階層移行ルール</t>
        </is>
      </c>
      <c r="F124" s="43" t="n"/>
      <c r="G124" s="46" t="n"/>
    </row>
    <row r="125" ht="16" customHeight="1" s="33">
      <c r="A125" s="40" t="n">
        <v>111</v>
      </c>
      <c r="B125" s="41" t="inlineStr">
        <is>
          <t>データレイクストレージ運用業務</t>
        </is>
      </c>
      <c r="C125" s="41" t="inlineStr">
        <is>
          <t>ストレージ階層管理</t>
        </is>
      </c>
      <c r="D125" s="41" t="inlineStr">
        <is>
          <t>ライフサイクルポリシー</t>
        </is>
      </c>
      <c r="E125" s="41" t="inlineStr">
        <is>
          <t>アクセス頻度に基づく動的階層最適化</t>
        </is>
      </c>
      <c r="F125" s="43" t="n"/>
      <c r="G125" s="46" t="n"/>
    </row>
    <row r="126" ht="16" customHeight="1" s="33">
      <c r="A126" s="40" t="n">
        <v>112</v>
      </c>
      <c r="B126" s="41" t="inlineStr">
        <is>
          <t>データレイクストレージ運用業務</t>
        </is>
      </c>
      <c r="C126" s="41" t="inlineStr">
        <is>
          <t>ストレージ階層管理</t>
        </is>
      </c>
      <c r="D126" s="41" t="inlineStr">
        <is>
          <t>ライフサイクルポリシー</t>
        </is>
      </c>
      <c r="E126" s="41" t="inlineStr">
        <is>
          <t>保持期間超過データの自動アーカイブ/削除</t>
        </is>
      </c>
      <c r="F126" s="43" t="n"/>
      <c r="G126" s="46" t="n"/>
    </row>
    <row r="127" ht="16" customHeight="1" s="33">
      <c r="A127" s="40" t="n">
        <v>113</v>
      </c>
      <c r="B127" s="41" t="inlineStr">
        <is>
          <t>データレイクストレージ運用業務</t>
        </is>
      </c>
      <c r="C127" s="41" t="inlineStr">
        <is>
          <t>ストレージ階層管理</t>
        </is>
      </c>
      <c r="D127" s="41" t="inlineStr">
        <is>
          <t>ライフサイクルポリシー</t>
        </is>
      </c>
      <c r="E127" s="41" t="inlineStr">
        <is>
          <t>ストレージコスト月次レポート</t>
        </is>
      </c>
      <c r="F127" s="43" t="n"/>
      <c r="G127" s="46" t="n"/>
    </row>
    <row r="128" ht="16" customHeight="1" s="33">
      <c r="A128" s="40" t="n">
        <v>114</v>
      </c>
      <c r="B128" s="41" t="inlineStr">
        <is>
          <t>データレイクストレージ運用業務</t>
        </is>
      </c>
      <c r="C128" s="41" t="inlineStr">
        <is>
          <t>バックアップ・災害復旧</t>
        </is>
      </c>
      <c r="D128" s="41" t="inlineStr">
        <is>
          <t>災害復旧計画</t>
        </is>
      </c>
      <c r="E128" s="44" t="inlineStr">
        <is>
          <t>DR環境は別リージョン（Azure East Japan ⇔ West Japan）</t>
        </is>
      </c>
      <c r="F128" s="43" t="n"/>
      <c r="G128" s="46" t="n"/>
    </row>
    <row r="129" ht="16" customHeight="1" s="33">
      <c r="A129" s="40" t="n">
        <v>115</v>
      </c>
      <c r="B129" s="41" t="inlineStr">
        <is>
          <t>データレイクストレージ運用業務</t>
        </is>
      </c>
      <c r="C129" s="41" t="inlineStr">
        <is>
          <t>バックアップ・災害復旧</t>
        </is>
      </c>
      <c r="D129" s="41" t="inlineStr">
        <is>
          <t>災害復旧計画</t>
        </is>
      </c>
      <c r="E129" s="41" t="inlineStr">
        <is>
          <t>重要データ（PostgreSQL、Kafka）はリアルタイムレプリケーション</t>
        </is>
      </c>
      <c r="F129" s="43" t="n"/>
      <c r="G129" s="46" t="n"/>
    </row>
    <row r="130" ht="16" customHeight="1" s="33">
      <c r="A130" s="40" t="n">
        <v>116</v>
      </c>
      <c r="B130" s="41" t="inlineStr">
        <is>
          <t>データレイクストレージ運用業務</t>
        </is>
      </c>
      <c r="C130" s="41" t="inlineStr">
        <is>
          <t>バックアップ・災害復旧</t>
        </is>
      </c>
      <c r="D130" s="41" t="inlineStr">
        <is>
          <t>災害復旧計画</t>
        </is>
      </c>
      <c r="E130" s="41" t="inlineStr">
        <is>
          <t>年2回のDR訓練実施（フェイルオーバー・フェイルバック）</t>
        </is>
      </c>
      <c r="F130" s="43" t="n"/>
      <c r="G130" s="46" t="n"/>
    </row>
    <row r="131" ht="16" customHeight="1" s="33">
      <c r="A131" s="40" t="n">
        <v>117</v>
      </c>
      <c r="B131" s="41" t="inlineStr">
        <is>
          <t>データレイクストレージ運用業務</t>
        </is>
      </c>
      <c r="C131" s="41" t="inlineStr">
        <is>
          <t>バックアップ・災害復旧</t>
        </is>
      </c>
      <c r="D131" s="41" t="inlineStr">
        <is>
          <t>災害復旧計画</t>
        </is>
      </c>
      <c r="E131" s="44" t="inlineStr">
        <is>
          <t>RTOに基づく復旧優先順位の定義</t>
        </is>
      </c>
      <c r="F131" s="43" t="n"/>
      <c r="G131" s="46" t="n"/>
    </row>
    <row r="132" ht="16" customHeight="1" s="33">
      <c r="A132" s="38" t="inlineStr">
        <is>
          <t>■ 非機能要件</t>
        </is>
      </c>
      <c r="B132" s="39" t="n"/>
      <c r="C132" s="39" t="n"/>
      <c r="D132" s="39" t="n"/>
      <c r="E132" s="39" t="n"/>
      <c r="F132" s="39" t="n"/>
      <c r="G132" s="39" t="n"/>
    </row>
    <row r="133" ht="16" customHeight="1" s="33">
      <c r="A133" s="40" t="n">
        <v>118</v>
      </c>
      <c r="B133" s="41" t="inlineStr">
        <is>
          <t>非機能要件</t>
        </is>
      </c>
      <c r="C133" s="41" t="inlineStr">
        <is>
          <t>セキュリティ要件</t>
        </is>
      </c>
      <c r="D133" s="46" t="n"/>
      <c r="E133" s="41" t="inlineStr">
        <is>
          <t>保存データの暗号化（AES-256）</t>
        </is>
      </c>
      <c r="F133" s="43" t="n"/>
      <c r="G133" s="46" t="n"/>
    </row>
    <row r="134" ht="16" customHeight="1" s="33">
      <c r="A134" s="40" t="n">
        <v>119</v>
      </c>
      <c r="B134" s="41" t="inlineStr">
        <is>
          <t>非機能要件</t>
        </is>
      </c>
      <c r="C134" s="41" t="inlineStr">
        <is>
          <t>セキュリティ要件</t>
        </is>
      </c>
      <c r="D134" s="46" t="n"/>
      <c r="E134" s="41" t="inlineStr">
        <is>
          <t>通信の暗号化（TLS 1.3）</t>
        </is>
      </c>
      <c r="F134" s="43" t="n"/>
      <c r="G134" s="46" t="n"/>
    </row>
    <row r="135" ht="16" customHeight="1" s="33">
      <c r="A135" s="40" t="n">
        <v>120</v>
      </c>
      <c r="B135" s="41" t="inlineStr">
        <is>
          <t>非機能要件</t>
        </is>
      </c>
      <c r="C135" s="41" t="inlineStr">
        <is>
          <t>セキュリティ要件</t>
        </is>
      </c>
      <c r="D135" s="46" t="n"/>
      <c r="E135" s="41" t="inlineStr">
        <is>
          <t>アクセスログの3年間保持</t>
        </is>
      </c>
      <c r="F135" s="43" t="n"/>
      <c r="G135" s="46" t="n"/>
    </row>
    <row r="136" ht="16" customHeight="1" s="33">
      <c r="A136" s="40" t="n">
        <v>121</v>
      </c>
      <c r="B136" s="41" t="inlineStr">
        <is>
          <t>非機能要件</t>
        </is>
      </c>
      <c r="C136" s="41" t="inlineStr">
        <is>
          <t>セキュリティ要件</t>
        </is>
      </c>
      <c r="D136" s="46" t="n"/>
      <c r="E136" s="41" t="inlineStr">
        <is>
          <t>個人情報のマスキング・匿名化処理</t>
        </is>
      </c>
      <c r="F136" s="43" t="n"/>
      <c r="G136" s="46" t="n"/>
    </row>
    <row r="137" ht="16" customHeight="1" s="33">
      <c r="A137" s="40" t="n">
        <v>122</v>
      </c>
      <c r="B137" s="41" t="inlineStr">
        <is>
          <t>非機能要件</t>
        </is>
      </c>
      <c r="C137" s="41" t="inlineStr">
        <is>
          <t>セキュリティ要件</t>
        </is>
      </c>
      <c r="D137" s="46" t="n"/>
      <c r="E137" s="41" t="inlineStr">
        <is>
          <t>データ持ち出し制御（DLP）</t>
        </is>
      </c>
      <c r="F137" s="43" t="n"/>
      <c r="G137" s="46" t="n"/>
    </row>
    <row r="138" ht="16" customHeight="1" s="33">
      <c r="A138" s="40" t="n">
        <v>123</v>
      </c>
      <c r="B138" s="41" t="inlineStr">
        <is>
          <t>非機能要件</t>
        </is>
      </c>
      <c r="C138" s="41" t="inlineStr">
        <is>
          <t>セキュリティ要件</t>
        </is>
      </c>
      <c r="D138" s="46" t="n"/>
      <c r="E138" s="41" t="inlineStr">
        <is>
          <t>定期脆弱性診断（四半期）</t>
        </is>
      </c>
      <c r="F138" s="43" t="n"/>
      <c r="G138" s="46" t="n"/>
    </row>
    <row r="139" ht="32" customHeight="1" s="33">
      <c r="A139" s="38" t="inlineStr">
        <is>
          <t>■ 導入ロードマップ</t>
        </is>
      </c>
      <c r="B139" s="39" t="n"/>
      <c r="C139" s="39" t="n"/>
      <c r="D139" s="39" t="n"/>
      <c r="E139" s="39" t="n"/>
      <c r="F139" s="39" t="n"/>
      <c r="G139" s="39" t="n"/>
    </row>
    <row r="140" ht="32" customHeight="1" s="33">
      <c r="A140" s="40" t="n">
        <v>124</v>
      </c>
      <c r="B140" s="41" t="inlineStr">
        <is>
          <t>導入ロードマップ</t>
        </is>
      </c>
      <c r="C140" s="44" t="inlineStr">
        <is>
          <t>### Phase 1（0-6ヶ月）: 基盤構築</t>
        </is>
      </c>
      <c r="D140" s="46" t="n"/>
      <c r="E140" s="41" t="inlineStr">
        <is>
          <t>データレイク基盤構築（PostgreSQL + TimescaleDB + S3互換）</t>
        </is>
      </c>
      <c r="F140" s="43" t="n"/>
      <c r="G140" s="46" t="n"/>
    </row>
    <row r="141" ht="32" customHeight="1" s="33">
      <c r="A141" s="40" t="n">
        <v>125</v>
      </c>
      <c r="B141" s="41" t="inlineStr">
        <is>
          <t>導入ロードマップ</t>
        </is>
      </c>
      <c r="C141" s="44" t="inlineStr">
        <is>
          <t>### Phase 1（0-6ヶ月）: 基盤構築</t>
        </is>
      </c>
      <c r="D141" s="46" t="n"/>
      <c r="E141" s="44" t="inlineStr">
        <is>
          <t>ETLパイプライン基盤（Airflow + dbt）構築</t>
        </is>
      </c>
      <c r="F141" s="43" t="n"/>
      <c r="G141" s="46" t="n"/>
    </row>
    <row r="142" ht="32" customHeight="1" s="33">
      <c r="A142" s="40" t="n">
        <v>126</v>
      </c>
      <c r="B142" s="41" t="inlineStr">
        <is>
          <t>導入ロードマップ</t>
        </is>
      </c>
      <c r="C142" s="44" t="inlineStr">
        <is>
          <t>### Phase 1（0-6ヶ月）: 基盤構築</t>
        </is>
      </c>
      <c r="D142" s="46" t="n"/>
      <c r="E142" s="41" t="inlineStr">
        <is>
          <t>施工管理・安全品質・ITSMデータの統合</t>
        </is>
      </c>
      <c r="F142" s="43" t="n"/>
      <c r="G142" s="46" t="n"/>
    </row>
    <row r="143" ht="32" customHeight="1" s="33">
      <c r="A143" s="40" t="n">
        <v>127</v>
      </c>
      <c r="B143" s="41" t="inlineStr">
        <is>
          <t>導入ロードマップ</t>
        </is>
      </c>
      <c r="C143" s="44" t="inlineStr">
        <is>
          <t>### Phase 1（0-6ヶ月）: 基盤構築</t>
        </is>
      </c>
      <c r="D143" s="46" t="n"/>
      <c r="E143" s="41" t="inlineStr">
        <is>
          <t>全社共通マスタ管理の開始</t>
        </is>
      </c>
      <c r="F143" s="43" t="n"/>
      <c r="G143" s="46" t="n"/>
    </row>
    <row r="144" ht="32" customHeight="1" s="33">
      <c r="A144" s="40" t="n">
        <v>128</v>
      </c>
      <c r="B144" s="41" t="inlineStr">
        <is>
          <t>導入ロードマップ</t>
        </is>
      </c>
      <c r="C144" s="44" t="inlineStr">
        <is>
          <t>### Phase 1（0-6ヶ月）: 基盤構築</t>
        </is>
      </c>
      <c r="D144" s="46" t="n"/>
      <c r="E144" s="44" t="inlineStr">
        <is>
          <t>API Gateway基本機能の構築</t>
        </is>
      </c>
      <c r="F144" s="43" t="n"/>
      <c r="G144" s="46" t="n"/>
    </row>
    <row r="145" ht="32" customHeight="1" s="33">
      <c r="A145" s="40" t="n">
        <v>129</v>
      </c>
      <c r="B145" s="41" t="inlineStr">
        <is>
          <t>導入ロードマップ</t>
        </is>
      </c>
      <c r="C145" s="44" t="inlineStr">
        <is>
          <t>### Phase 2（6-12ヶ月）: 分析基盤拡充</t>
        </is>
      </c>
      <c r="D145" s="46" t="n"/>
      <c r="E145" s="44" t="inlineStr">
        <is>
          <t>BIダッシュボード基盤（Grafana + Metabase）構築</t>
        </is>
      </c>
      <c r="F145" s="43" t="n"/>
      <c r="G145" s="46" t="n"/>
    </row>
    <row r="146" ht="32" customHeight="1" s="33">
      <c r="A146" s="40" t="n">
        <v>130</v>
      </c>
      <c r="B146" s="41" t="inlineStr">
        <is>
          <t>導入ロードマップ</t>
        </is>
      </c>
      <c r="C146" s="44" t="inlineStr">
        <is>
          <t>### Phase 2（6-12ヶ月）: 分析基盤拡充</t>
        </is>
      </c>
      <c r="D146" s="46" t="n"/>
      <c r="E146" s="41" t="inlineStr">
        <is>
          <t>残部門データの統合（営業、購買、経理、人事）</t>
        </is>
      </c>
      <c r="F146" s="43" t="n"/>
      <c r="G146" s="46" t="n"/>
    </row>
    <row r="147" ht="32" customHeight="1" s="33">
      <c r="A147" s="40" t="n">
        <v>131</v>
      </c>
      <c r="B147" s="41" t="inlineStr">
        <is>
          <t>導入ロードマップ</t>
        </is>
      </c>
      <c r="C147" s="44" t="inlineStr">
        <is>
          <t>### Phase 2（6-12ヶ月）: 分析基盤拡充</t>
        </is>
      </c>
      <c r="D147" s="46" t="n"/>
      <c r="E147" s="41" t="inlineStr">
        <is>
          <t>データカタログの運用開始</t>
        </is>
      </c>
      <c r="F147" s="43" t="n"/>
      <c r="G147" s="46" t="n"/>
    </row>
    <row r="148" ht="32" customHeight="1" s="33">
      <c r="A148" s="40" t="n">
        <v>132</v>
      </c>
      <c r="B148" s="41" t="inlineStr">
        <is>
          <t>導入ロードマップ</t>
        </is>
      </c>
      <c r="C148" s="44" t="inlineStr">
        <is>
          <t>### Phase 2（6-12ヶ月）: 分析基盤拡充</t>
        </is>
      </c>
      <c r="D148" s="46" t="n"/>
      <c r="E148" s="44" t="inlineStr">
        <is>
          <t>MLOps基盤（MLflow）構築</t>
        </is>
      </c>
      <c r="F148" s="43" t="n"/>
      <c r="G148" s="46" t="n"/>
    </row>
    <row r="149" ht="32" customHeight="1" s="33">
      <c r="A149" s="40" t="n">
        <v>133</v>
      </c>
      <c r="B149" s="41" t="inlineStr">
        <is>
          <t>導入ロードマップ</t>
        </is>
      </c>
      <c r="C149" s="44" t="inlineStr">
        <is>
          <t>### Phase 2（6-12ヶ月）: 分析基盤拡充</t>
        </is>
      </c>
      <c r="D149" s="46" t="n"/>
      <c r="E149" s="44" t="inlineStr">
        <is>
          <t>Feature Store の構築・運用開始</t>
        </is>
      </c>
      <c r="F149" s="43" t="n"/>
      <c r="G149" s="46" t="n"/>
    </row>
    <row r="150" ht="32" customHeight="1" s="33">
      <c r="A150" s="40" t="n">
        <v>134</v>
      </c>
      <c r="B150" s="41" t="inlineStr">
        <is>
          <t>導入ロードマップ</t>
        </is>
      </c>
      <c r="C150" s="44" t="inlineStr">
        <is>
          <t>### Phase 3（12-18ヶ月）: 高度化</t>
        </is>
      </c>
      <c r="D150" s="46" t="n"/>
      <c r="E150" s="41" t="inlineStr">
        <is>
          <t>デジタルツイン基盤（CesiumJS）構築</t>
        </is>
      </c>
      <c r="F150" s="43" t="n"/>
      <c r="G150" s="46" t="n"/>
    </row>
    <row r="151" ht="32" customHeight="1" s="33">
      <c r="A151" s="40" t="n">
        <v>135</v>
      </c>
      <c r="B151" s="41" t="inlineStr">
        <is>
          <t>導入ロードマップ</t>
        </is>
      </c>
      <c r="C151" s="44" t="inlineStr">
        <is>
          <t>### Phase 3（12-18ヶ月）: 高度化</t>
        </is>
      </c>
      <c r="D151" s="46" t="n"/>
      <c r="E151" s="44" t="inlineStr">
        <is>
          <t>AI/MLモデルの本格運用（予測モデル群）</t>
        </is>
      </c>
      <c r="F151" s="43" t="n"/>
      <c r="G151" s="46" t="n"/>
    </row>
    <row r="152" ht="32" customHeight="1" s="33">
      <c r="A152" s="40" t="n">
        <v>136</v>
      </c>
      <c r="B152" s="41" t="inlineStr">
        <is>
          <t>導入ロードマップ</t>
        </is>
      </c>
      <c r="C152" s="44" t="inlineStr">
        <is>
          <t>### Phase 3（12-18ヶ月）: 高度化</t>
        </is>
      </c>
      <c r="D152" s="46" t="n"/>
      <c r="E152" s="41" t="inlineStr">
        <is>
          <t>リアルタイムストリーム処理の全面展開</t>
        </is>
      </c>
      <c r="F152" s="43" t="n"/>
      <c r="G152" s="46" t="n"/>
    </row>
    <row r="153" ht="32" customHeight="1" s="33">
      <c r="A153" s="40" t="n">
        <v>137</v>
      </c>
      <c r="B153" s="41" t="inlineStr">
        <is>
          <t>導入ロードマップ</t>
        </is>
      </c>
      <c r="C153" s="44" t="inlineStr">
        <is>
          <t>### Phase 3（12-18ヶ月）: 高度化</t>
        </is>
      </c>
      <c r="D153" s="46" t="n"/>
      <c r="E153" s="41" t="inlineStr">
        <is>
          <t>外部データ連携の拡充（CCUS、CORINS等）</t>
        </is>
      </c>
      <c r="F153" s="43" t="n"/>
      <c r="G153" s="46" t="n"/>
    </row>
    <row r="154" ht="32" customHeight="1" s="33">
      <c r="A154" s="40" t="n">
        <v>138</v>
      </c>
      <c r="B154" s="41" t="inlineStr">
        <is>
          <t>導入ロードマップ</t>
        </is>
      </c>
      <c r="C154" s="44" t="inlineStr">
        <is>
          <t>### Phase 3（12-18ヶ月）: 高度化</t>
        </is>
      </c>
      <c r="D154" s="46" t="n"/>
      <c r="E154" s="41" t="inlineStr">
        <is>
          <t>データガバナンス成熟度評価・改善</t>
        </is>
      </c>
      <c r="F154" s="43" t="n"/>
      <c r="G154" s="46" t="n"/>
    </row>
    <row r="155" ht="32" customHeight="1" s="33">
      <c r="A155" s="38" t="inlineStr">
        <is>
          <t>■ 他部門システムとの連携要件</t>
        </is>
      </c>
      <c r="B155" s="39" t="n"/>
      <c r="C155" s="39" t="n"/>
      <c r="D155" s="39" t="n"/>
      <c r="E155" s="39" t="n"/>
      <c r="F155" s="39" t="n"/>
      <c r="G155" s="39" t="n"/>
    </row>
    <row r="156" ht="16" customHeight="1" s="33">
      <c r="A156" s="40" t="n">
        <v>139</v>
      </c>
      <c r="B156" s="41" t="inlineStr">
        <is>
          <t>他部門システムとの連携要件</t>
        </is>
      </c>
      <c r="C156" s="41" t="inlineStr">
        <is>
          <t>部門別連携仕様</t>
        </is>
      </c>
      <c r="D156" s="46" t="n"/>
      <c r="E156" s="41" t="inlineStr">
        <is>
          <t>項目:文書ID | 内容:BIZ-CDL-001</t>
        </is>
      </c>
      <c r="F156" s="43" t="n"/>
      <c r="G156" s="46" t="n"/>
    </row>
    <row r="157" ht="16" customHeight="1" s="33">
      <c r="A157" s="40" t="n">
        <v>140</v>
      </c>
      <c r="B157" s="41" t="inlineStr">
        <is>
          <t>他部門システムとの連携要件</t>
        </is>
      </c>
      <c r="C157" s="41" t="inlineStr">
        <is>
          <t>部門別連携仕様</t>
        </is>
      </c>
      <c r="D157" s="46" t="n"/>
      <c r="E157" s="41" t="inlineStr">
        <is>
          <t>項目:版数 | 内容:1.0</t>
        </is>
      </c>
      <c r="F157" s="43" t="n"/>
      <c r="G157" s="46" t="n"/>
    </row>
    <row r="158" ht="16" customHeight="1" s="33">
      <c r="A158" s="40" t="n">
        <v>141</v>
      </c>
      <c r="B158" s="41" t="inlineStr">
        <is>
          <t>他部門システムとの連携要件</t>
        </is>
      </c>
      <c r="C158" s="41" t="inlineStr">
        <is>
          <t>部門別連携仕様</t>
        </is>
      </c>
      <c r="D158" s="46" t="n"/>
      <c r="E158" s="41" t="inlineStr">
        <is>
          <t>項目:作成日 | 内容:2026-05-16</t>
        </is>
      </c>
      <c r="F158" s="43" t="n"/>
      <c r="G158" s="46" t="n"/>
    </row>
    <row r="159" ht="16" customHeight="1" s="33">
      <c r="A159" s="40" t="n">
        <v>142</v>
      </c>
      <c r="B159" s="41" t="inlineStr">
        <is>
          <t>他部門システムとの連携要件</t>
        </is>
      </c>
      <c r="C159" s="41" t="inlineStr">
        <is>
          <t>部門別連携仕様</t>
        </is>
      </c>
      <c r="D159" s="46" t="n"/>
      <c r="E159" s="41" t="inlineStr">
        <is>
          <t>項目:部門 | 内容:統合データ基盤（横断組織）</t>
        </is>
      </c>
      <c r="F159" s="43" t="n"/>
      <c r="G159" s="46" t="n"/>
    </row>
    <row r="160" ht="32" customHeight="1" s="33">
      <c r="A160" s="40" t="n">
        <v>143</v>
      </c>
      <c r="B160" s="41" t="inlineStr">
        <is>
          <t>他部門システムとの連携要件</t>
        </is>
      </c>
      <c r="C160" s="41" t="inlineStr">
        <is>
          <t>部門別連携仕様</t>
        </is>
      </c>
      <c r="D160" s="46" t="n"/>
      <c r="E160" s="41" t="inlineStr">
        <is>
          <t>項目:システム名 | 内容:Construction DataLake &amp; Digital Twin Platform</t>
        </is>
      </c>
      <c r="F160" s="43" t="n"/>
      <c r="G160" s="46" t="n"/>
    </row>
    <row r="161" ht="16" customHeight="1" s="33">
      <c r="A161" s="40" t="n">
        <v>144</v>
      </c>
      <c r="B161" s="41" t="inlineStr">
        <is>
          <t>他部門システムとの連携要件</t>
        </is>
      </c>
      <c r="C161" s="41" t="inlineStr">
        <is>
          <t>部門別連携仕様</t>
        </is>
      </c>
      <c r="D161" s="46" t="n"/>
      <c r="E161" s="41" t="inlineStr">
        <is>
          <t>項目:対象 | 内容:全社データ統合・分析・デジタルツイン基盤</t>
        </is>
      </c>
      <c r="F161" s="43" t="n"/>
      <c r="G161" s="46" t="n"/>
    </row>
    <row r="162" ht="32" customHeight="1" s="33">
      <c r="A162" s="40" t="n">
        <v>145</v>
      </c>
      <c r="B162" s="41" t="inlineStr">
        <is>
          <t>他部門システムとの連携要件</t>
        </is>
      </c>
      <c r="C162" s="41" t="inlineStr">
        <is>
          <t>部門別連携仕様</t>
        </is>
      </c>
      <c r="D162" s="46" t="n"/>
      <c r="E162" s="41" t="inlineStr">
        <is>
          <t>ソースシステム:経営ダッシュボード | データ種別:KPI集計値、予算実績 | 取得方式:REST API | 頻度:日次</t>
        </is>
      </c>
      <c r="F162" s="43" t="n"/>
      <c r="G162" s="46" t="n"/>
    </row>
    <row r="163" ht="32" customHeight="1" s="33">
      <c r="A163" s="40" t="n">
        <v>146</v>
      </c>
      <c r="B163" s="41" t="inlineStr">
        <is>
          <t>他部門システムとの連携要件</t>
        </is>
      </c>
      <c r="C163" s="41" t="inlineStr">
        <is>
          <t>部門別連携仕様</t>
        </is>
      </c>
      <c r="D163" s="46" t="n"/>
      <c r="E163" s="41" t="inlineStr">
        <is>
          <t>ソースシステム:建設CRM | データ種別:案件情報、入札データ | 取得方式:CDC (Change Data Capture) | 頻度:リアルタイム</t>
        </is>
      </c>
      <c r="F163" s="43" t="n"/>
      <c r="G163" s="46" t="n"/>
    </row>
    <row r="164" ht="32" customHeight="1" s="33">
      <c r="A164" s="40" t="n">
        <v>147</v>
      </c>
      <c r="B164" s="41" t="inlineStr">
        <is>
          <t>他部門システムとの連携要件</t>
        </is>
      </c>
      <c r="C164" s="41" t="inlineStr">
        <is>
          <t>部門別連携仕様</t>
        </is>
      </c>
      <c r="D164" s="46" t="n"/>
      <c r="E164" s="41" t="inlineStr">
        <is>
          <t>ソースシステム:施工管理システム | データ種別:工程・原価・写真・IoTセンサー | 取得方式:Kafka Stream | 頻度:リアルタイム</t>
        </is>
      </c>
      <c r="F164" s="43" t="n"/>
      <c r="G164" s="46" t="n"/>
    </row>
    <row r="165" ht="32" customHeight="1" s="33">
      <c r="A165" s="40" t="n">
        <v>148</v>
      </c>
      <c r="B165" s="41" t="inlineStr">
        <is>
          <t>他部門システムとの連携要件</t>
        </is>
      </c>
      <c r="C165" s="41" t="inlineStr">
        <is>
          <t>部門別連携仕様</t>
        </is>
      </c>
      <c r="D165" s="46" t="n"/>
      <c r="E165" s="41" t="inlineStr">
        <is>
          <t>ソースシステム:安全品質ガバナンス | データ種別:ヒヤリハット、パトロール、NCR | 取得方式:REST API | 頻度:日次</t>
        </is>
      </c>
      <c r="F165" s="43" t="n"/>
      <c r="G165" s="46" t="n"/>
    </row>
    <row r="166" ht="32" customHeight="1" s="33">
      <c r="A166" s="40" t="n">
        <v>149</v>
      </c>
      <c r="B166" s="41" t="inlineStr">
        <is>
          <t>他部門システムとの連携要件</t>
        </is>
      </c>
      <c r="C166" s="41" t="inlineStr">
        <is>
          <t>部門別連携仕様</t>
        </is>
      </c>
      <c r="D166" s="46" t="n"/>
      <c r="E166" s="41" t="inlineStr">
        <is>
          <t>ソースシステム:技術ナレッジBIM基盤 | データ種別:技術文書、BIM/CIMモデル | 取得方式:ファイル連携（S3互換） | 頻度:イベント駆動</t>
        </is>
      </c>
      <c r="F166" s="43" t="n"/>
      <c r="G166" s="46" t="n"/>
    </row>
    <row r="167" ht="32" customHeight="1" s="33">
      <c r="A167" s="40" t="n">
        <v>150</v>
      </c>
      <c r="B167" s="41" t="inlineStr">
        <is>
          <t>他部門システムとの連携要件</t>
        </is>
      </c>
      <c r="C167" s="41" t="inlineStr">
        <is>
          <t>部門別連携仕様</t>
        </is>
      </c>
      <c r="D167" s="46" t="n"/>
      <c r="E167" s="41" t="inlineStr">
        <is>
          <t>ソースシステム:企業運営基盤 | データ種別:会計データ、人事データ、契約 | 取得方式:バッチETL（dbt） | 頻度:日次</t>
        </is>
      </c>
      <c r="F167" s="43" t="n"/>
      <c r="G167" s="46" t="n"/>
    </row>
    <row r="168" ht="32" customHeight="1" s="33">
      <c r="A168" s="40" t="n">
        <v>151</v>
      </c>
      <c r="B168" s="41" t="inlineStr">
        <is>
          <t>他部門システムとの連携要件</t>
        </is>
      </c>
      <c r="C168" s="41" t="inlineStr">
        <is>
          <t>部門別連携仕様</t>
        </is>
      </c>
      <c r="D168" s="46" t="n"/>
      <c r="E168" s="41" t="inlineStr">
        <is>
          <t>ソースシステム:調達資材管理 | データ種別:発注・在庫・単価データ | 取得方式:CDC | 頻度:リアルタイム</t>
        </is>
      </c>
      <c r="F168" s="43" t="n"/>
      <c r="G168" s="46" t="n"/>
    </row>
    <row r="169" ht="32" customHeight="1" s="33">
      <c r="A169" s="40" t="n">
        <v>152</v>
      </c>
      <c r="B169" s="41" t="inlineStr">
        <is>
          <t>他部門システムとの連携要件</t>
        </is>
      </c>
      <c r="C169" s="41" t="inlineStr">
        <is>
          <t>部門別連携仕様</t>
        </is>
      </c>
      <c r="D169" s="46" t="n"/>
      <c r="E169" s="41" t="inlineStr">
        <is>
          <t>ソースシステム:船舶運航管理 | データ種別:AIS/GPS位置情報、燃料データ | 取得方式:MQTT/Kafka | 頻度:リアルタイム</t>
        </is>
      </c>
      <c r="F169" s="43" t="n"/>
      <c r="G169" s="46" t="n"/>
    </row>
    <row r="170" ht="32" customHeight="1" s="33">
      <c r="A170" s="40" t="n">
        <v>153</v>
      </c>
      <c r="B170" s="41" t="inlineStr">
        <is>
          <t>他部門システムとの連携要件</t>
        </is>
      </c>
      <c r="C170" s="41" t="inlineStr">
        <is>
          <t>部門別連携仕様</t>
        </is>
      </c>
      <c r="D170" s="46" t="n"/>
      <c r="E170" s="41" t="inlineStr">
        <is>
          <t>ソースシステム:ITSM基盤 | データ種別:インシデント、CMDB、ログ | 取得方式:REST API / Syslog | 頻度:リアルタイム</t>
        </is>
      </c>
      <c r="F170" s="43" t="n"/>
      <c r="G170" s="46" t="n"/>
    </row>
    <row r="171" ht="32" customHeight="1" s="33">
      <c r="A171" s="40" t="n">
        <v>154</v>
      </c>
      <c r="B171" s="41" t="inlineStr">
        <is>
          <t>他部門システムとの連携要件</t>
        </is>
      </c>
      <c r="C171" s="41" t="inlineStr">
        <is>
          <t>部門別連携仕様</t>
        </is>
      </c>
      <c r="D171" s="46" t="n"/>
      <c r="E171" s="41" t="inlineStr">
        <is>
          <t>ソースシステム:DeskNet's NEO | データ種別:ワークフロー承認データ | 取得方式:REST API連携 | 頻度:イベント駆動</t>
        </is>
      </c>
      <c r="F171" s="43" t="n"/>
      <c r="G171" s="46" t="n"/>
    </row>
    <row r="172" ht="32" customHeight="1" s="33">
      <c r="A172" s="40" t="n">
        <v>155</v>
      </c>
      <c r="B172" s="41" t="inlineStr">
        <is>
          <t>他部門システムとの連携要件</t>
        </is>
      </c>
      <c r="C172" s="41" t="inlineStr">
        <is>
          <t>部門別連携仕様</t>
        </is>
      </c>
      <c r="D172" s="46" t="n"/>
      <c r="E172" s="41" t="inlineStr">
        <is>
          <t>ソースシステム:IoTセンサー | データ種別:温湿度、振動、粉塵、騒音 | 取得方式:MQTT → Kafka | 頻度:リアルタイム</t>
        </is>
      </c>
      <c r="F172" s="43" t="n"/>
      <c r="G172" s="46" t="n"/>
    </row>
    <row r="173" ht="32" customHeight="1" s="33">
      <c r="A173" s="40" t="n">
        <v>156</v>
      </c>
      <c r="B173" s="41" t="inlineStr">
        <is>
          <t>他部門システムとの連携要件</t>
        </is>
      </c>
      <c r="C173" s="41" t="inlineStr">
        <is>
          <t>部門別連携仕様</t>
        </is>
      </c>
      <c r="D173" s="46" t="n"/>
      <c r="E173" s="41" t="inlineStr">
        <is>
          <t>ソースシステム:外部データ | データ種別:気象、地図、CCUS、CORINS | 取得方式:REST API | 頻度:定期バッチ</t>
        </is>
      </c>
      <c r="F173" s="43" t="n"/>
      <c r="G173" s="46" t="n"/>
    </row>
    <row r="174" ht="32" customHeight="1" s="33">
      <c r="A174" s="40" t="n">
        <v>157</v>
      </c>
      <c r="B174" s="41" t="inlineStr">
        <is>
          <t>他部門システムとの連携要件</t>
        </is>
      </c>
      <c r="C174" s="41" t="inlineStr">
        <is>
          <t>部門別連携仕様</t>
        </is>
      </c>
      <c r="D174" s="46" t="n"/>
      <c r="E174" s="41" t="inlineStr">
        <is>
          <t>監視項目:DAG実行失敗 | 閾値:1回以上 | アラート先:Slack + メール即時通知</t>
        </is>
      </c>
      <c r="F174" s="43" t="n"/>
      <c r="G174" s="46" t="n"/>
    </row>
    <row r="175" ht="16" customHeight="1" s="33">
      <c r="A175" s="40" t="n">
        <v>158</v>
      </c>
      <c r="B175" s="41" t="inlineStr">
        <is>
          <t>他部門システムとの連携要件</t>
        </is>
      </c>
      <c r="C175" s="41" t="inlineStr">
        <is>
          <t>部門別連携仕様</t>
        </is>
      </c>
      <c r="D175" s="46" t="n"/>
      <c r="E175" s="41" t="inlineStr">
        <is>
          <t>監視項目:DAG遅延 | 閾値:SLA超過10分以上 | アラート先:Slack通知</t>
        </is>
      </c>
      <c r="F175" s="43" t="n"/>
      <c r="G175" s="46" t="n"/>
    </row>
    <row r="176" ht="32" customHeight="1" s="33">
      <c r="A176" s="40" t="n">
        <v>159</v>
      </c>
      <c r="B176" s="41" t="inlineStr">
        <is>
          <t>他部門システムとの連携要件</t>
        </is>
      </c>
      <c r="C176" s="41" t="inlineStr">
        <is>
          <t>部門別連携仕様</t>
        </is>
      </c>
      <c r="D176" s="46" t="n"/>
      <c r="E176" s="41" t="inlineStr">
        <is>
          <t>監視項目:データ品質テスト失敗 | 閾値:dbtテスト1件以上失敗 | アラート先:Slack + Jiraチケット自動起票</t>
        </is>
      </c>
      <c r="F176" s="43" t="n"/>
      <c r="G176" s="46" t="n"/>
    </row>
    <row r="177" ht="32" customHeight="1" s="33">
      <c r="A177" s="40" t="n">
        <v>160</v>
      </c>
      <c r="B177" s="41" t="inlineStr">
        <is>
          <t>他部門システムとの連携要件</t>
        </is>
      </c>
      <c r="C177" s="41" t="inlineStr">
        <is>
          <t>部門別連携仕様</t>
        </is>
      </c>
      <c r="D177" s="46" t="n"/>
      <c r="E177" s="41" t="inlineStr">
        <is>
          <t>監視項目:Kafkaコンシューマーラグ | 閾値:10,000メッセージ以上 | アラート先:Grafanaアラート</t>
        </is>
      </c>
      <c r="F177" s="43" t="n"/>
      <c r="G177" s="46" t="n"/>
    </row>
    <row r="178" ht="32" customHeight="1" s="33">
      <c r="A178" s="40" t="n">
        <v>161</v>
      </c>
      <c r="B178" s="41" t="inlineStr">
        <is>
          <t>他部門システムとの連携要件</t>
        </is>
      </c>
      <c r="C178" s="41" t="inlineStr">
        <is>
          <t>部門別連携仕様</t>
        </is>
      </c>
      <c r="D178" s="46" t="n"/>
      <c r="E178" s="41" t="inlineStr">
        <is>
          <t>監視項目:ストレージ使用量 | 閾値:80%以上 | アラート先:週次レポート + アラート</t>
        </is>
      </c>
      <c r="F178" s="43" t="n"/>
      <c r="G178" s="46" t="n"/>
    </row>
    <row r="179" ht="16" customHeight="1" s="33">
      <c r="A179" s="40" t="n">
        <v>162</v>
      </c>
      <c r="B179" s="41" t="inlineStr">
        <is>
          <t>他部門システムとの連携要件</t>
        </is>
      </c>
      <c r="C179" s="41" t="inlineStr">
        <is>
          <t>部門別連携仕様</t>
        </is>
      </c>
      <c r="D179" s="46" t="n"/>
      <c r="E179" s="41" t="inlineStr">
        <is>
          <t>監視項目:ETL処理時間 | 閾値:前回比200%以上 | アラート先:自動調査トリガー</t>
        </is>
      </c>
      <c r="F179" s="43" t="n"/>
      <c r="G179" s="46" t="n"/>
    </row>
    <row r="180" ht="32" customHeight="1" s="33">
      <c r="A180" s="40" t="n">
        <v>163</v>
      </c>
      <c r="B180" s="41" t="inlineStr">
        <is>
          <t>他部門システムとの連携要件</t>
        </is>
      </c>
      <c r="C180" s="41" t="inlineStr">
        <is>
          <t>部門別連携仕様</t>
        </is>
      </c>
      <c r="D180" s="46" t="n"/>
      <c r="E180" s="41" t="inlineStr">
        <is>
          <t>品質次元:完全性（Completeness） | チェック内容:必須フィールドのNULL率 | 自動化方式:dbt test + Great Expectations</t>
        </is>
      </c>
      <c r="F180" s="43" t="n"/>
      <c r="G180" s="46" t="n"/>
    </row>
    <row r="181" ht="32" customHeight="1" s="33">
      <c r="A181" s="40" t="n">
        <v>164</v>
      </c>
      <c r="B181" s="41" t="inlineStr">
        <is>
          <t>他部門システムとの連携要件</t>
        </is>
      </c>
      <c r="C181" s="41" t="inlineStr">
        <is>
          <t>部門別連携仕様</t>
        </is>
      </c>
      <c r="D181" s="46" t="n"/>
      <c r="E181" s="41" t="inlineStr">
        <is>
          <t>品質次元:一意性（Uniqueness） | チェック内容:主キー重複チェック | 自動化方式:dbt unique test</t>
        </is>
      </c>
      <c r="F181" s="43" t="n"/>
      <c r="G181" s="46" t="n"/>
    </row>
    <row r="182" ht="32" customHeight="1" s="33">
      <c r="A182" s="40" t="n">
        <v>165</v>
      </c>
      <c r="B182" s="41" t="inlineStr">
        <is>
          <t>他部門システムとの連携要件</t>
        </is>
      </c>
      <c r="C182" s="41" t="inlineStr">
        <is>
          <t>部門別連携仕様</t>
        </is>
      </c>
      <c r="D182" s="46" t="n"/>
      <c r="E182" s="41" t="inlineStr">
        <is>
          <t>品質次元:正確性（Accuracy） | チェック内容:値域チェック、フォーマット検証 | 自動化方式:Great Expectations Suite</t>
        </is>
      </c>
      <c r="F182" s="43" t="n"/>
      <c r="G182" s="46" t="n"/>
    </row>
    <row r="183" ht="32" customHeight="1" s="33">
      <c r="A183" s="40" t="n">
        <v>166</v>
      </c>
      <c r="B183" s="41" t="inlineStr">
        <is>
          <t>他部門システムとの連携要件</t>
        </is>
      </c>
      <c r="C183" s="41" t="inlineStr">
        <is>
          <t>部門別連携仕様</t>
        </is>
      </c>
      <c r="D183" s="46" t="n"/>
      <c r="E183" s="41" t="inlineStr">
        <is>
          <t>品質次元:一貫性（Consistency） | チェック内容:テーブル間整合性、外部キー参照 | 自動化方式:dbt relationships test</t>
        </is>
      </c>
      <c r="F183" s="43" t="n"/>
      <c r="G183" s="46" t="n"/>
    </row>
    <row r="184" ht="32" customHeight="1" s="33">
      <c r="A184" s="40" t="n">
        <v>167</v>
      </c>
      <c r="B184" s="41" t="inlineStr">
        <is>
          <t>他部門システムとの連携要件</t>
        </is>
      </c>
      <c r="C184" s="41" t="inlineStr">
        <is>
          <t>部門別連携仕様</t>
        </is>
      </c>
      <c r="D184" s="46" t="n"/>
      <c r="E184" s="41" t="inlineStr">
        <is>
          <t>品質次元:適時性（Timeliness） | チェック内容:データ鮮度（最終更新からの経過時間） | 自動化方式:カスタムSQLチェック</t>
        </is>
      </c>
      <c r="F184" s="43" t="n"/>
      <c r="G184" s="46" t="n"/>
    </row>
    <row r="185" ht="32" customHeight="1" s="33">
      <c r="A185" s="40" t="n">
        <v>168</v>
      </c>
      <c r="B185" s="41" t="inlineStr">
        <is>
          <t>他部門システムとの連携要件</t>
        </is>
      </c>
      <c r="C185" s="41" t="inlineStr">
        <is>
          <t>部門別連携仕様</t>
        </is>
      </c>
      <c r="D185" s="46" t="n"/>
      <c r="E185" s="41" t="inlineStr">
        <is>
          <t>品質次元:妥当性（Validity） | チェック内容:ビジネスルール適合性 | 自動化方式:カスタムバリデーション</t>
        </is>
      </c>
      <c r="F185" s="43" t="n"/>
      <c r="G185" s="46" t="n"/>
    </row>
    <row r="186" ht="32" customHeight="1" s="33">
      <c r="A186" s="40" t="n">
        <v>169</v>
      </c>
      <c r="B186" s="41" t="inlineStr">
        <is>
          <t>他部門システムとの連携要件</t>
        </is>
      </c>
      <c r="C186" s="41" t="inlineStr">
        <is>
          <t>部門別連携仕様</t>
        </is>
      </c>
      <c r="D186" s="46" t="n"/>
      <c r="E186" s="41" t="inlineStr">
        <is>
          <t>レベル:公開（Public） | 対象データ:気象データ、公共工事情報 | アクセス権限:全社員参照可</t>
        </is>
      </c>
      <c r="F186" s="43" t="n"/>
      <c r="G186" s="46" t="n"/>
    </row>
    <row r="187" ht="32" customHeight="1" s="33">
      <c r="A187" s="40" t="n">
        <v>170</v>
      </c>
      <c r="B187" s="41" t="inlineStr">
        <is>
          <t>他部門システムとの連携要件</t>
        </is>
      </c>
      <c r="C187" s="41" t="inlineStr">
        <is>
          <t>部門別連携仕様</t>
        </is>
      </c>
      <c r="D187" s="46" t="n"/>
      <c r="E187" s="41" t="inlineStr">
        <is>
          <t>レベル:社内限定（Internal） | 対象データ:工程データ、技術文書 | アクセス権限:社員のみ参照可</t>
        </is>
      </c>
      <c r="F187" s="43" t="n"/>
      <c r="G187" s="46" t="n"/>
    </row>
    <row r="188" ht="32" customHeight="1" s="33">
      <c r="A188" s="40" t="n">
        <v>171</v>
      </c>
      <c r="B188" s="41" t="inlineStr">
        <is>
          <t>他部門システムとの連携要件</t>
        </is>
      </c>
      <c r="C188" s="41" t="inlineStr">
        <is>
          <t>部門別連携仕様</t>
        </is>
      </c>
      <c r="D188" s="46" t="n"/>
      <c r="E188" s="41" t="inlineStr">
        <is>
          <t>レベル:部門限定（Confidential） | 対象データ:原価データ、人事データ | アクセス権限:所属部門のみ</t>
        </is>
      </c>
      <c r="F188" s="43" t="n"/>
      <c r="G188" s="46" t="n"/>
    </row>
    <row r="189" ht="32" customHeight="1" s="33">
      <c r="A189" s="40" t="n">
        <v>172</v>
      </c>
      <c r="B189" s="41" t="inlineStr">
        <is>
          <t>他部門システムとの連携要件</t>
        </is>
      </c>
      <c r="C189" s="41" t="inlineStr">
        <is>
          <t>部門別連携仕様</t>
        </is>
      </c>
      <c r="D189" s="46" t="n"/>
      <c r="E189" s="41" t="inlineStr">
        <is>
          <t>レベル:機密（Restricted） | 対象データ:経営戦略、入札価格 | アクセス権限:特定権限者のみ</t>
        </is>
      </c>
      <c r="F189" s="43" t="n"/>
      <c r="G189" s="46" t="n"/>
    </row>
    <row r="190" ht="32" customHeight="1" s="33">
      <c r="A190" s="40" t="n">
        <v>173</v>
      </c>
      <c r="B190" s="41" t="inlineStr">
        <is>
          <t>他部門システムとの連携要件</t>
        </is>
      </c>
      <c r="C190" s="41" t="inlineStr">
        <is>
          <t>部門別連携仕様</t>
        </is>
      </c>
      <c r="D190" s="46" t="n"/>
      <c r="E190" s="41" t="inlineStr">
        <is>
          <t>データ分類:会計データ | 保持期間:10年 | 廃棄方式:論理削除後物理削除 | 根拠法令:電子帳簿保存法</t>
        </is>
      </c>
      <c r="F190" s="43" t="n"/>
      <c r="G190" s="46" t="n"/>
    </row>
    <row r="191" ht="32" customHeight="1" s="33">
      <c r="A191" s="40" t="n">
        <v>174</v>
      </c>
      <c r="B191" s="41" t="inlineStr">
        <is>
          <t>他部門システムとの連携要件</t>
        </is>
      </c>
      <c r="C191" s="41" t="inlineStr">
        <is>
          <t>部門別連携仕様</t>
        </is>
      </c>
      <c r="D191" s="46" t="n"/>
      <c r="E191" s="41" t="inlineStr">
        <is>
          <t>データ分類:契約データ | 保持期間:10年 | 廃棄方式:論理削除後物理削除 | 根拠法令:建設業法</t>
        </is>
      </c>
      <c r="F191" s="43" t="n"/>
      <c r="G191" s="46" t="n"/>
    </row>
    <row r="192" ht="32" customHeight="1" s="33">
      <c r="A192" s="40" t="n">
        <v>175</v>
      </c>
      <c r="B192" s="41" t="inlineStr">
        <is>
          <t>他部門システムとの連携要件</t>
        </is>
      </c>
      <c r="C192" s="41" t="inlineStr">
        <is>
          <t>部門別連携仕様</t>
        </is>
      </c>
      <c r="D192" s="46" t="n"/>
      <c r="E192" s="41" t="inlineStr">
        <is>
          <t>データ分類:施工記録 | 保持期間:永年 | 廃棄方式:アーカイブ（Cold Storage） | 根拠法令:品確法</t>
        </is>
      </c>
      <c r="F192" s="43" t="n"/>
      <c r="G192" s="46" t="n"/>
    </row>
    <row r="193" ht="32" customHeight="1" s="33">
      <c r="A193" s="40" t="n">
        <v>176</v>
      </c>
      <c r="B193" s="41" t="inlineStr">
        <is>
          <t>他部門システムとの連携要件</t>
        </is>
      </c>
      <c r="C193" s="41" t="inlineStr">
        <is>
          <t>部門別連携仕様</t>
        </is>
      </c>
      <c r="D193" s="46" t="n"/>
      <c r="E193" s="41" t="inlineStr">
        <is>
          <t>データ分類:安全記録 | 保持期間:5年 | 廃棄方式:論理削除後物理削除 | 根拠法令:労働安全衛生法</t>
        </is>
      </c>
      <c r="F193" s="43" t="n"/>
      <c r="G193" s="46" t="n"/>
    </row>
    <row r="194" ht="32" customHeight="1" s="33">
      <c r="A194" s="40" t="n">
        <v>177</v>
      </c>
      <c r="B194" s="41" t="inlineStr">
        <is>
          <t>他部門システムとの連携要件</t>
        </is>
      </c>
      <c r="C194" s="41" t="inlineStr">
        <is>
          <t>部門別連携仕様</t>
        </is>
      </c>
      <c r="D194" s="46" t="n"/>
      <c r="E194" s="41" t="inlineStr">
        <is>
          <t>データ分類:人事データ | 保持期間:退職後5年 | 廃棄方式:完全削除（暗号鍵破棄） | 根拠法令:個人情報保護法</t>
        </is>
      </c>
      <c r="F194" s="43" t="n"/>
      <c r="G194" s="46" t="n"/>
    </row>
    <row r="195" ht="32" customHeight="1" s="33">
      <c r="A195" s="40" t="n">
        <v>178</v>
      </c>
      <c r="B195" s="41" t="inlineStr">
        <is>
          <t>他部門システムとの連携要件</t>
        </is>
      </c>
      <c r="C195" s="41" t="inlineStr">
        <is>
          <t>部門別連携仕様</t>
        </is>
      </c>
      <c r="D195" s="46" t="n"/>
      <c r="E195" s="41" t="inlineStr">
        <is>
          <t>データ分類:IoTセンサー（Raw） | 保持期間:1年 | 廃棄方式:自動削除（TTL） | 根拠法令:社内規定</t>
        </is>
      </c>
      <c r="F195" s="43" t="n"/>
      <c r="G195" s="46" t="n"/>
    </row>
    <row r="196" ht="32" customHeight="1" s="33">
      <c r="A196" s="40" t="n">
        <v>179</v>
      </c>
      <c r="B196" s="41" t="inlineStr">
        <is>
          <t>他部門システムとの連携要件</t>
        </is>
      </c>
      <c r="C196" s="41" t="inlineStr">
        <is>
          <t>部門別連携仕様</t>
        </is>
      </c>
      <c r="D196" s="46" t="n"/>
      <c r="E196" s="41" t="inlineStr">
        <is>
          <t>データ分類:IoTセンサー（集計済） | 保持期間:5年 | 廃棄方式:Cold Storageへ移行 | 根拠法令:社内規定</t>
        </is>
      </c>
      <c r="F196" s="43" t="n"/>
      <c r="G196" s="46" t="n"/>
    </row>
    <row r="197" ht="32" customHeight="1" s="33">
      <c r="A197" s="40" t="n">
        <v>180</v>
      </c>
      <c r="B197" s="41" t="inlineStr">
        <is>
          <t>他部門システムとの連携要件</t>
        </is>
      </c>
      <c r="C197" s="41" t="inlineStr">
        <is>
          <t>部門別連携仕様</t>
        </is>
      </c>
      <c r="D197" s="46" t="n"/>
      <c r="E197" s="41" t="inlineStr">
        <is>
          <t>データ分類:BIM/CIMモデル | 保持期間:永年 | 廃棄方式:Glacier互換ストレージ | 根拠法令:i-Construction要件</t>
        </is>
      </c>
      <c r="F197" s="43" t="n"/>
      <c r="G197" s="46" t="n"/>
    </row>
    <row r="198" ht="32" customHeight="1" s="33">
      <c r="A198" s="40" t="n">
        <v>181</v>
      </c>
      <c r="B198" s="41" t="inlineStr">
        <is>
          <t>他部門システムとの連携要件</t>
        </is>
      </c>
      <c r="C198" s="41" t="inlineStr">
        <is>
          <t>部門別連携仕様</t>
        </is>
      </c>
      <c r="D198" s="46" t="n"/>
      <c r="E198" s="41" t="inlineStr">
        <is>
          <t>マスタ名:社員マスタ | 管理部門:人事部 | レコード規模:約500件 | 更新頻度:日次</t>
        </is>
      </c>
      <c r="F198" s="43" t="n"/>
      <c r="G198" s="46" t="n"/>
    </row>
    <row r="199" ht="16" customHeight="1" s="33">
      <c r="A199" s="40" t="n">
        <v>182</v>
      </c>
      <c r="B199" s="41" t="inlineStr">
        <is>
          <t>他部門システムとの連携要件</t>
        </is>
      </c>
      <c r="C199" s="41" t="inlineStr">
        <is>
          <t>部門別連携仕様</t>
        </is>
      </c>
      <c r="D199" s="46" t="n"/>
      <c r="E199" s="41" t="inlineStr">
        <is>
          <t>マスタ名:組織マスタ | 管理部門:総務部 | レコード規模:約50件 | 更新頻度:月次</t>
        </is>
      </c>
      <c r="F199" s="43" t="n"/>
      <c r="G199" s="46" t="n"/>
    </row>
    <row r="200" ht="32" customHeight="1" s="33">
      <c r="A200" s="40" t="n">
        <v>183</v>
      </c>
      <c r="B200" s="41" t="inlineStr">
        <is>
          <t>他部門システムとの連携要件</t>
        </is>
      </c>
      <c r="C200" s="41" t="inlineStr">
        <is>
          <t>部門別連携仕様</t>
        </is>
      </c>
      <c r="D200" s="46" t="n"/>
      <c r="E200" s="41" t="inlineStr">
        <is>
          <t>マスタ名:工事マスタ | 管理部門:施工本部 | レコード規模:約200件/年 | 更新頻度:随時</t>
        </is>
      </c>
      <c r="F200" s="43" t="n"/>
      <c r="G200" s="46" t="n"/>
    </row>
    <row r="201" ht="32" customHeight="1" s="33">
      <c r="A201" s="40" t="n">
        <v>184</v>
      </c>
      <c r="B201" s="41" t="inlineStr">
        <is>
          <t>他部門システムとの連携要件</t>
        </is>
      </c>
      <c r="C201" s="41" t="inlineStr">
        <is>
          <t>部門別連携仕様</t>
        </is>
      </c>
      <c r="D201" s="46" t="n"/>
      <c r="E201" s="41" t="inlineStr">
        <is>
          <t>マスタ名:顧客マスタ | 管理部門:営業本部 | レコード規模:約3,000件 | 更新頻度:随時</t>
        </is>
      </c>
      <c r="F201" s="43" t="n"/>
      <c r="G201" s="46" t="n"/>
    </row>
    <row r="202" ht="32" customHeight="1" s="33">
      <c r="A202" s="40" t="n">
        <v>185</v>
      </c>
      <c r="B202" s="41" t="inlineStr">
        <is>
          <t>他部門システムとの連携要件</t>
        </is>
      </c>
      <c r="C202" s="41" t="inlineStr">
        <is>
          <t>部門別連携仕様</t>
        </is>
      </c>
      <c r="D202" s="46" t="n"/>
      <c r="E202" s="41" t="inlineStr">
        <is>
          <t>マスタ名:協力会社マスタ | 管理部門:購買部 | レコード規模:約500件 | 更新頻度:随時</t>
        </is>
      </c>
      <c r="F202" s="43" t="n"/>
      <c r="G202" s="46" t="n"/>
    </row>
    <row r="203" ht="32" customHeight="1" s="33">
      <c r="A203" s="40" t="n">
        <v>186</v>
      </c>
      <c r="B203" s="41" t="inlineStr">
        <is>
          <t>他部門システムとの連携要件</t>
        </is>
      </c>
      <c r="C203" s="41" t="inlineStr">
        <is>
          <t>部門別連携仕様</t>
        </is>
      </c>
      <c r="D203" s="46" t="n"/>
      <c r="E203" s="41" t="inlineStr">
        <is>
          <t>マスタ名:資材マスタ | 管理部門:購買部 | レコード規模:約10,000件 | 更新頻度:随時</t>
        </is>
      </c>
      <c r="F203" s="43" t="n"/>
      <c r="G203" s="46" t="n"/>
    </row>
    <row r="204" ht="32" customHeight="1" s="33">
      <c r="A204" s="40" t="n">
        <v>187</v>
      </c>
      <c r="B204" s="41" t="inlineStr">
        <is>
          <t>他部門システムとの連携要件</t>
        </is>
      </c>
      <c r="C204" s="41" t="inlineStr">
        <is>
          <t>部門別連携仕様</t>
        </is>
      </c>
      <c r="D204" s="46" t="n"/>
      <c r="E204" s="41" t="inlineStr">
        <is>
          <t>マスタ名:勘定科目マスタ | 管理部門:経理部 | レコード規模:約300件 | 更新頻度:年次</t>
        </is>
      </c>
      <c r="F204" s="43" t="n"/>
      <c r="G204" s="46" t="n"/>
    </row>
    <row r="205" ht="32" customHeight="1" s="33">
      <c r="A205" s="40" t="n">
        <v>188</v>
      </c>
      <c r="B205" s="41" t="inlineStr">
        <is>
          <t>他部門システムとの連携要件</t>
        </is>
      </c>
      <c r="C205" s="41" t="inlineStr">
        <is>
          <t>部門別連携仕様</t>
        </is>
      </c>
      <c r="D205" s="46" t="n"/>
      <c r="E205" s="41" t="inlineStr">
        <is>
          <t>マスタ名:船舶マスタ | 管理部門:船舶事業部 | レコード規模:約30件 | 更新頻度:随時</t>
        </is>
      </c>
      <c r="F205" s="43" t="n"/>
      <c r="G205" s="46" t="n"/>
    </row>
    <row r="206" ht="16" customHeight="1" s="33">
      <c r="A206" s="40" t="n">
        <v>189</v>
      </c>
      <c r="B206" s="41" t="inlineStr">
        <is>
          <t>他部門システムとの連携要件</t>
        </is>
      </c>
      <c r="C206" s="41" t="inlineStr">
        <is>
          <t>部門別連携仕様</t>
        </is>
      </c>
      <c r="D206" s="46" t="n"/>
      <c r="E206" s="41" t="inlineStr">
        <is>
          <t>マスタ名:拠点マスタ | 管理部門:総務部 | レコード規模:約20件 | 更新頻度:年次</t>
        </is>
      </c>
      <c r="F206" s="43" t="n"/>
      <c r="G206" s="46" t="n"/>
    </row>
    <row r="207" ht="32" customHeight="1" s="33">
      <c r="A207" s="40" t="n">
        <v>190</v>
      </c>
      <c r="B207" s="41" t="inlineStr">
        <is>
          <t>他部門システムとの連携要件</t>
        </is>
      </c>
      <c r="C207" s="41" t="inlineStr">
        <is>
          <t>部門別連携仕様</t>
        </is>
      </c>
      <c r="D207" s="46" t="n"/>
      <c r="E207" s="41" t="inlineStr">
        <is>
          <t>マスタ名:資格マスタ | 管理部門:人事部 | レコード規模:約200件 | 更新頻度:年次</t>
        </is>
      </c>
      <c r="F207" s="43" t="n"/>
      <c r="G207" s="46" t="n"/>
    </row>
    <row r="208" ht="32" customHeight="1" s="33">
      <c r="A208" s="40" t="n">
        <v>191</v>
      </c>
      <c r="B208" s="41" t="inlineStr">
        <is>
          <t>他部門システムとの連携要件</t>
        </is>
      </c>
      <c r="C208" s="41" t="inlineStr">
        <is>
          <t>部門別連携仕様</t>
        </is>
      </c>
      <c r="D208" s="46" t="n"/>
      <c r="E208" s="41" t="inlineStr">
        <is>
          <t>データマート名:経営KPIマート | 利用部門:経営企画部 | 主要KPI:売上、利益率、受注残 | 更新頻度:日次</t>
        </is>
      </c>
      <c r="F208" s="43" t="n"/>
      <c r="G208" s="46" t="n"/>
    </row>
    <row r="209" ht="32" customHeight="1" s="33">
      <c r="A209" s="40" t="n">
        <v>192</v>
      </c>
      <c r="B209" s="41" t="inlineStr">
        <is>
          <t>他部門システムとの連携要件</t>
        </is>
      </c>
      <c r="C209" s="41" t="inlineStr">
        <is>
          <t>部門別連携仕様</t>
        </is>
      </c>
      <c r="D209" s="46" t="n"/>
      <c r="E209" s="41" t="inlineStr">
        <is>
          <t>データマート名:施工原価マート | 利用部門:施工本部・経理部 | 主要KPI:工事別原価、出来高 | 更新頻度:日次</t>
        </is>
      </c>
      <c r="F209" s="43" t="n"/>
      <c r="G209" s="46" t="n"/>
    </row>
    <row r="210" ht="32" customHeight="1" s="33">
      <c r="A210" s="40" t="n">
        <v>193</v>
      </c>
      <c r="B210" s="41" t="inlineStr">
        <is>
          <t>他部門システムとの連携要件</t>
        </is>
      </c>
      <c r="C210" s="41" t="inlineStr">
        <is>
          <t>部門別連携仕様</t>
        </is>
      </c>
      <c r="D210" s="46" t="n"/>
      <c r="E210" s="41" t="inlineStr">
        <is>
          <t>データマート名:安全品質マート | 利用部門:安全品質環境本部 | 主要KPI:災害件数、品質不適合率 | 更新頻度:日次</t>
        </is>
      </c>
      <c r="F210" s="43" t="n"/>
      <c r="G210" s="46" t="n"/>
    </row>
    <row r="211" ht="32" customHeight="1" s="33">
      <c r="A211" s="40" t="n">
        <v>194</v>
      </c>
      <c r="B211" s="41" t="inlineStr">
        <is>
          <t>他部門システムとの連携要件</t>
        </is>
      </c>
      <c r="C211" s="41" t="inlineStr">
        <is>
          <t>部門別連携仕様</t>
        </is>
      </c>
      <c r="D211" s="46" t="n"/>
      <c r="E211" s="41" t="inlineStr">
        <is>
          <t>データマート名:営業パイプラインマート | 利用部門:営業本部 | 主要KPI:案件数、受注確度、受注金額 | 更新頻度:リアルタイム</t>
        </is>
      </c>
      <c r="F211" s="43" t="n"/>
      <c r="G211" s="46" t="n"/>
    </row>
    <row r="212" ht="32" customHeight="1" s="33">
      <c r="A212" s="40" t="n">
        <v>195</v>
      </c>
      <c r="B212" s="41" t="inlineStr">
        <is>
          <t>他部門システムとの連携要件</t>
        </is>
      </c>
      <c r="C212" s="41" t="inlineStr">
        <is>
          <t>部門別連携仕様</t>
        </is>
      </c>
      <c r="D212" s="46" t="n"/>
      <c r="E212" s="41" t="inlineStr">
        <is>
          <t>データマート名:人材配置マート | 利用部門:人事部・施工本部 | 主要KPI:稼働率、資格保有者配置 | 更新頻度:日次</t>
        </is>
      </c>
      <c r="F212" s="43" t="n"/>
      <c r="G212" s="46" t="n"/>
    </row>
    <row r="213" ht="32" customHeight="1" s="33">
      <c r="A213" s="40" t="n">
        <v>196</v>
      </c>
      <c r="B213" s="41" t="inlineStr">
        <is>
          <t>他部門システムとの連携要件</t>
        </is>
      </c>
      <c r="C213" s="41" t="inlineStr">
        <is>
          <t>部門別連携仕様</t>
        </is>
      </c>
      <c r="D213" s="46" t="n"/>
      <c r="E213" s="41" t="inlineStr">
        <is>
          <t>データマート名:調達分析マート | 利用部門:購買部 | 主要KPI:発注金額、単価推移、在庫回転率 | 更新頻度:日次</t>
        </is>
      </c>
      <c r="F213" s="43" t="n"/>
      <c r="G213" s="46" t="n"/>
    </row>
    <row r="214" ht="32" customHeight="1" s="33">
      <c r="A214" s="40" t="n">
        <v>197</v>
      </c>
      <c r="B214" s="41" t="inlineStr">
        <is>
          <t>他部門システムとの連携要件</t>
        </is>
      </c>
      <c r="C214" s="41" t="inlineStr">
        <is>
          <t>部門別連携仕様</t>
        </is>
      </c>
      <c r="D214" s="46" t="n"/>
      <c r="E214" s="41" t="inlineStr">
        <is>
          <t>データマート名:船舶運航マート | 利用部門:船舶事業部 | 主要KPI:稼働率、燃費、航行距離 | 更新頻度:リアルタイム</t>
        </is>
      </c>
      <c r="F214" s="43" t="n"/>
      <c r="G214" s="46" t="n"/>
    </row>
    <row r="215" ht="32" customHeight="1" s="33">
      <c r="A215" s="40" t="n">
        <v>198</v>
      </c>
      <c r="B215" s="41" t="inlineStr">
        <is>
          <t>他部門システムとの連携要件</t>
        </is>
      </c>
      <c r="C215" s="41" t="inlineStr">
        <is>
          <t>部門別連携仕様</t>
        </is>
      </c>
      <c r="D215" s="46" t="n"/>
      <c r="E215" s="41" t="inlineStr">
        <is>
          <t>データマート名:ESG/SDGsマート | 利用部門:経営企画部 | 主要KPI:CO2排出量、廃棄物量、女性比率 | 更新頻度:月次</t>
        </is>
      </c>
      <c r="F215" s="43" t="n"/>
      <c r="G215" s="46" t="n"/>
    </row>
    <row r="216" ht="32" customHeight="1" s="33">
      <c r="A216" s="40" t="n">
        <v>199</v>
      </c>
      <c r="B216" s="41" t="inlineStr">
        <is>
          <t>他部門システムとの連携要件</t>
        </is>
      </c>
      <c r="C216" s="41" t="inlineStr">
        <is>
          <t>部門別連携仕様</t>
        </is>
      </c>
      <c r="D216" s="46" t="n"/>
      <c r="E216" s="41" t="inlineStr">
        <is>
          <t>モデル名:工事利益予測モデル | 利用部門:経営企画部 | モデル種別:XGBoost/LightGBM | 推論方式:バッチ推論（日次）</t>
        </is>
      </c>
      <c r="F216" s="43" t="n"/>
      <c r="G216" s="46" t="n"/>
    </row>
    <row r="217" ht="32" customHeight="1" s="33">
      <c r="A217" s="40" t="n">
        <v>200</v>
      </c>
      <c r="B217" s="41" t="inlineStr">
        <is>
          <t>他部門システムとの連携要件</t>
        </is>
      </c>
      <c r="C217" s="41" t="inlineStr">
        <is>
          <t>部門別連携仕様</t>
        </is>
      </c>
      <c r="D217" s="46" t="n"/>
      <c r="E217" s="41" t="inlineStr">
        <is>
          <t>モデル名:受注確度予測モデル | 利用部門:営業本部 | モデル種別:ロジスティック回帰/RF | 推論方式:リアルタイム推論</t>
        </is>
      </c>
      <c r="F217" s="43" t="n"/>
      <c r="G217" s="46" t="n"/>
    </row>
    <row r="218" ht="32" customHeight="1" s="33">
      <c r="A218" s="40" t="n">
        <v>201</v>
      </c>
      <c r="B218" s="41" t="inlineStr">
        <is>
          <t>他部門システムとの連携要件</t>
        </is>
      </c>
      <c r="C218" s="41" t="inlineStr">
        <is>
          <t>部門別連携仕様</t>
        </is>
      </c>
      <c r="D218" s="46" t="n"/>
      <c r="E218" s="41" t="inlineStr">
        <is>
          <t>モデル名:安全危険度予測モデル | 利用部門:安全品質環境本部 | モデル種別:ニューラルネット | 推論方式:リアルタイム推論</t>
        </is>
      </c>
      <c r="F218" s="43" t="n"/>
      <c r="G218" s="46" t="n"/>
    </row>
    <row r="219" ht="32" customHeight="1" s="33">
      <c r="A219" s="40" t="n">
        <v>202</v>
      </c>
      <c r="B219" s="41" t="inlineStr">
        <is>
          <t>他部門システムとの連携要件</t>
        </is>
      </c>
      <c r="C219" s="41" t="inlineStr">
        <is>
          <t>部門別連携仕様</t>
        </is>
      </c>
      <c r="D219" s="46" t="n"/>
      <c r="E219" s="41" t="inlineStr">
        <is>
          <t>モデル名:映像解析（不安全行動検知） | 利用部門:安全品質環境本部 | モデル種別:YOLOv8 | 推論方式:エッジ推論</t>
        </is>
      </c>
      <c r="F219" s="43" t="n"/>
      <c r="G219" s="46" t="n"/>
    </row>
    <row r="220" ht="32" customHeight="1" s="33">
      <c r="A220" s="40" t="n">
        <v>203</v>
      </c>
      <c r="B220" s="41" t="inlineStr">
        <is>
          <t>他部門システムとの連携要件</t>
        </is>
      </c>
      <c r="C220" s="41" t="inlineStr">
        <is>
          <t>部門別連携仕様</t>
        </is>
      </c>
      <c r="D220" s="46" t="n"/>
      <c r="E220" s="41" t="inlineStr">
        <is>
          <t>モデル名:AI資材価格予測 | 利用部門:購買部 | モデル種別:時系列モデル（Prophet） | 推論方式:バッチ推論（週次）</t>
        </is>
      </c>
      <c r="F220" s="43" t="n"/>
      <c r="G220" s="46" t="n"/>
    </row>
    <row r="221" ht="32" customHeight="1" s="33">
      <c r="A221" s="40" t="n">
        <v>204</v>
      </c>
      <c r="B221" s="41" t="inlineStr">
        <is>
          <t>他部門システムとの連携要件</t>
        </is>
      </c>
      <c r="C221" s="41" t="inlineStr">
        <is>
          <t>部門別連携仕様</t>
        </is>
      </c>
      <c r="D221" s="46" t="n"/>
      <c r="E221" s="41" t="inlineStr">
        <is>
          <t>モデル名:技術文書RAG | 利用部門:技術本部 | モデル種別:Azure OpenAI + Embedding | 推論方式:リアルタイム推論</t>
        </is>
      </c>
      <c r="F221" s="43" t="n"/>
      <c r="G221" s="46" t="n"/>
    </row>
    <row r="222" ht="32" customHeight="1" s="33">
      <c r="A222" s="40" t="n">
        <v>205</v>
      </c>
      <c r="B222" s="41" t="inlineStr">
        <is>
          <t>他部門システムとの連携要件</t>
        </is>
      </c>
      <c r="C222" s="41" t="inlineStr">
        <is>
          <t>部門別連携仕様</t>
        </is>
      </c>
      <c r="D222" s="46" t="n"/>
      <c r="E222" s="41" t="inlineStr">
        <is>
          <t>モデル名:AI提案書生成 | 利用部門:営業本部 | モデル種別:Azure OpenAI GPT-4o | 推論方式:リアルタイム推論</t>
        </is>
      </c>
      <c r="F222" s="43" t="n"/>
      <c r="G222" s="46" t="n"/>
    </row>
    <row r="223" ht="32" customHeight="1" s="33">
      <c r="A223" s="40" t="n">
        <v>206</v>
      </c>
      <c r="B223" s="41" t="inlineStr">
        <is>
          <t>他部門システムとの連携要件</t>
        </is>
      </c>
      <c r="C223" s="41" t="inlineStr">
        <is>
          <t>部門別連携仕様</t>
        </is>
      </c>
      <c r="D223" s="46" t="n"/>
      <c r="E223" s="41" t="inlineStr">
        <is>
          <t>モデル名:地盤データ分析 | 利用部門:技術本部 | モデル種別:クラスタリング + 回帰 | 推論方式:バッチ推論</t>
        </is>
      </c>
      <c r="F223" s="43" t="n"/>
      <c r="G223" s="46" t="n"/>
    </row>
    <row r="224" ht="32" customHeight="1" s="33">
      <c r="A224" s="40" t="n">
        <v>207</v>
      </c>
      <c r="B224" s="41" t="inlineStr">
        <is>
          <t>他部門システムとの連携要件</t>
        </is>
      </c>
      <c r="C224" s="41" t="inlineStr">
        <is>
          <t>部門別連携仕様</t>
        </is>
      </c>
      <c r="D224" s="46" t="n"/>
      <c r="E224" s="41" t="inlineStr">
        <is>
          <t>モデル名:燃費最適化モデル | 利用部門:船舶事業部 | モデル種別:強化学習 | 推論方式:リアルタイム推論</t>
        </is>
      </c>
      <c r="F224" s="43" t="n"/>
      <c r="G224" s="46" t="n"/>
    </row>
    <row r="225" ht="32" customHeight="1" s="33">
      <c r="A225" s="40" t="n">
        <v>208</v>
      </c>
      <c r="B225" s="41" t="inlineStr">
        <is>
          <t>他部門システムとの連携要件</t>
        </is>
      </c>
      <c r="C225" s="41" t="inlineStr">
        <is>
          <t>部門別連携仕様</t>
        </is>
      </c>
      <c r="D225" s="46" t="n"/>
      <c r="E225" s="41" t="inlineStr">
        <is>
          <t>モデル名:AIヘルプデスク | 利用部門:IT-DX部門 | モデル種別:Azure OpenAI + RAG | 推論方式:リアルタイム推論</t>
        </is>
      </c>
      <c r="F225" s="43" t="n"/>
      <c r="G225" s="46" t="n"/>
    </row>
    <row r="226" ht="32" customHeight="1" s="33">
      <c r="A226" s="40" t="n">
        <v>209</v>
      </c>
      <c r="B226" s="41" t="inlineStr">
        <is>
          <t>他部門システムとの連携要件</t>
        </is>
      </c>
      <c r="C226" s="41" t="inlineStr">
        <is>
          <t>部門別連携仕様</t>
        </is>
      </c>
      <c r="D226" s="46" t="n"/>
      <c r="E226" s="41" t="inlineStr">
        <is>
          <t>対象:施工現場 | モデル形式:IFC (BIM) + 点群 | データソース:BIMモデル + ドローン測量 | 更新頻度:週次</t>
        </is>
      </c>
      <c r="F226" s="43" t="n"/>
      <c r="G226" s="46" t="n"/>
    </row>
    <row r="227" ht="32" customHeight="1" s="33">
      <c r="A227" s="40" t="n">
        <v>210</v>
      </c>
      <c r="B227" s="41" t="inlineStr">
        <is>
          <t>他部門システムとの連携要件</t>
        </is>
      </c>
      <c r="C227" s="41" t="inlineStr">
        <is>
          <t>部門別連携仕様</t>
        </is>
      </c>
      <c r="D227" s="46" t="n"/>
      <c r="E227" s="41" t="inlineStr">
        <is>
          <t>対象:インフラ構造物 | モデル形式:CIM (IFC/LandXML) | データソース:CIMモデル + IoTセンサー | 更新頻度:リアルタイム</t>
        </is>
      </c>
      <c r="F227" s="43" t="n"/>
      <c r="G227" s="46" t="n"/>
    </row>
    <row r="228" ht="32" customHeight="1" s="33">
      <c r="A228" s="40" t="n">
        <v>211</v>
      </c>
      <c r="B228" s="41" t="inlineStr">
        <is>
          <t>他部門システムとの連携要件</t>
        </is>
      </c>
      <c r="C228" s="41" t="inlineStr">
        <is>
          <t>部門別連携仕様</t>
        </is>
      </c>
      <c r="D228" s="46" t="n"/>
      <c r="E228" s="41" t="inlineStr">
        <is>
          <t>対象:船舶 | モデル形式:3Dモデル (glTF) | データソース:AIS/GPS + センサー | 更新頻度:リアルタイム</t>
        </is>
      </c>
      <c r="F228" s="43" t="n"/>
      <c r="G228" s="46" t="n"/>
    </row>
    <row r="229" ht="32" customHeight="1" s="33">
      <c r="A229" s="40" t="n">
        <v>212</v>
      </c>
      <c r="B229" s="41" t="inlineStr">
        <is>
          <t>他部門システムとの連携要件</t>
        </is>
      </c>
      <c r="C229" s="41" t="inlineStr">
        <is>
          <t>部門別連携仕様</t>
        </is>
      </c>
      <c r="D229" s="46" t="n"/>
      <c r="E229" s="41" t="inlineStr">
        <is>
          <t>対象:事務所・設備 | モデル形式:BIM (IFC) | データソース:設備台帳 + IoT | 更新頻度:月次</t>
        </is>
      </c>
      <c r="F229" s="43" t="n"/>
      <c r="G229" s="46" t="n"/>
    </row>
    <row r="230" ht="32" customHeight="1" s="33">
      <c r="A230" s="40" t="n">
        <v>213</v>
      </c>
      <c r="B230" s="41" t="inlineStr">
        <is>
          <t>他部門システムとの連携要件</t>
        </is>
      </c>
      <c r="C230" s="41" t="inlineStr">
        <is>
          <t>部門別連携仕様</t>
        </is>
      </c>
      <c r="D230" s="46" t="n"/>
      <c r="E230" s="44" t="inlineStr">
        <is>
          <t>API カテゴリ:マスタデータAPI | エンドポイント例:/api/v1/masters/{type} | 利用部門:全部門</t>
        </is>
      </c>
      <c r="F230" s="43" t="n"/>
      <c r="G230" s="46" t="n"/>
    </row>
    <row r="231" ht="32" customHeight="1" s="33">
      <c r="A231" s="40" t="n">
        <v>214</v>
      </c>
      <c r="B231" s="41" t="inlineStr">
        <is>
          <t>他部門システムとの連携要件</t>
        </is>
      </c>
      <c r="C231" s="41" t="inlineStr">
        <is>
          <t>部門別連携仕様</t>
        </is>
      </c>
      <c r="D231" s="46" t="n"/>
      <c r="E231" s="44" t="inlineStr">
        <is>
          <t>API カテゴリ:施工データAPI | エンドポイント例:/api/v1/construction/{project_id} | 利用部門:施工本部</t>
        </is>
      </c>
      <c r="F231" s="43" t="n"/>
      <c r="G231" s="46" t="n"/>
    </row>
    <row r="232" ht="32" customHeight="1" s="33">
      <c r="A232" s="40" t="n">
        <v>215</v>
      </c>
      <c r="B232" s="41" t="inlineStr">
        <is>
          <t>他部門システムとの連携要件</t>
        </is>
      </c>
      <c r="C232" s="41" t="inlineStr">
        <is>
          <t>部門別連携仕様</t>
        </is>
      </c>
      <c r="D232" s="46" t="n"/>
      <c r="E232" s="44" t="inlineStr">
        <is>
          <t>API カテゴリ:安全データAPI | エンドポイント例:/api/v1/safety/{site_id} | 利用部門:安全品質環境本部</t>
        </is>
      </c>
      <c r="F232" s="43" t="n"/>
      <c r="G232" s="46" t="n"/>
    </row>
    <row r="233" ht="32" customHeight="1" s="33">
      <c r="A233" s="40" t="n">
        <v>216</v>
      </c>
      <c r="B233" s="41" t="inlineStr">
        <is>
          <t>他部門システムとの連携要件</t>
        </is>
      </c>
      <c r="C233" s="41" t="inlineStr">
        <is>
          <t>部門別連携仕様</t>
        </is>
      </c>
      <c r="D233" s="46" t="n"/>
      <c r="E233" s="44" t="inlineStr">
        <is>
          <t>API カテゴリ:分析データAPI | エンドポイント例:/api/v1/analytics/{mart_name} | 利用部門:経営企画部</t>
        </is>
      </c>
      <c r="F233" s="43" t="n"/>
      <c r="G233" s="46" t="n"/>
    </row>
    <row r="234" ht="32" customHeight="1" s="33">
      <c r="A234" s="40" t="n">
        <v>217</v>
      </c>
      <c r="B234" s="41" t="inlineStr">
        <is>
          <t>他部門システムとの連携要件</t>
        </is>
      </c>
      <c r="C234" s="41" t="inlineStr">
        <is>
          <t>部門別連携仕様</t>
        </is>
      </c>
      <c r="D234" s="46" t="n"/>
      <c r="E234" s="44" t="inlineStr">
        <is>
          <t>API カテゴリ:空間データAPI | エンドポイント例:/api/v1/spatial/query | 利用部門:技術本部</t>
        </is>
      </c>
      <c r="F234" s="43" t="n"/>
      <c r="G234" s="46" t="n"/>
    </row>
    <row r="235" ht="32" customHeight="1" s="33">
      <c r="A235" s="40" t="n">
        <v>218</v>
      </c>
      <c r="B235" s="41" t="inlineStr">
        <is>
          <t>他部門システムとの連携要件</t>
        </is>
      </c>
      <c r="C235" s="41" t="inlineStr">
        <is>
          <t>部門別連携仕様</t>
        </is>
      </c>
      <c r="D235" s="46" t="n"/>
      <c r="E235" s="44" t="inlineStr">
        <is>
          <t>API カテゴリ:AI推論API | エンドポイント例:/api/v1/ml/predict/{model_name} | 利用部門:全部門</t>
        </is>
      </c>
      <c r="F235" s="43" t="n"/>
      <c r="G235" s="46" t="n"/>
    </row>
    <row r="236" ht="32" customHeight="1" s="33">
      <c r="A236" s="40" t="n">
        <v>219</v>
      </c>
      <c r="B236" s="41" t="inlineStr">
        <is>
          <t>他部門システムとの連携要件</t>
        </is>
      </c>
      <c r="C236" s="41" t="inlineStr">
        <is>
          <t>部門別連携仕様</t>
        </is>
      </c>
      <c r="D236" s="46" t="n"/>
      <c r="E236" s="44" t="inlineStr">
        <is>
          <t>API カテゴリ:IoTデータAPI | エンドポイント例:/api/v1/iot/{device_id}/telemetry | 利用部門:施工本部・船舶事業部</t>
        </is>
      </c>
      <c r="F236" s="43" t="n"/>
      <c r="G236" s="46" t="n"/>
    </row>
    <row r="237" ht="32" customHeight="1" s="33">
      <c r="A237" s="40" t="n">
        <v>220</v>
      </c>
      <c r="B237" s="41" t="inlineStr">
        <is>
          <t>他部門システムとの連携要件</t>
        </is>
      </c>
      <c r="C237" s="41" t="inlineStr">
        <is>
          <t>部門別連携仕様</t>
        </is>
      </c>
      <c r="D237" s="46" t="n"/>
      <c r="E237" s="44" t="inlineStr">
        <is>
          <t>API カテゴリ:文書検索API | エンドポイント例:/api/v1/search/documents | 利用部門:全部門</t>
        </is>
      </c>
      <c r="F237" s="43" t="n"/>
      <c r="G237" s="46" t="n"/>
    </row>
    <row r="238" ht="32" customHeight="1" s="33">
      <c r="A238" s="40" t="n">
        <v>221</v>
      </c>
      <c r="B238" s="41" t="inlineStr">
        <is>
          <t>他部門システムとの連携要件</t>
        </is>
      </c>
      <c r="C238" s="41" t="inlineStr">
        <is>
          <t>部門別連携仕様</t>
        </is>
      </c>
      <c r="D238" s="46" t="n"/>
      <c r="E238" s="41" t="inlineStr">
        <is>
          <t>連携先:CCUS（建設キャリアアップシステム） | 用途:技能者情報連携 | プロトコル:REST API</t>
        </is>
      </c>
      <c r="F238" s="43" t="n"/>
      <c r="G238" s="46" t="n"/>
    </row>
    <row r="239" ht="32" customHeight="1" s="33">
      <c r="A239" s="40" t="n">
        <v>222</v>
      </c>
      <c r="B239" s="41" t="inlineStr">
        <is>
          <t>他部門システムとの連携要件</t>
        </is>
      </c>
      <c r="C239" s="41" t="inlineStr">
        <is>
          <t>部門別連携仕様</t>
        </is>
      </c>
      <c r="D239" s="46" t="n"/>
      <c r="E239" s="41" t="inlineStr">
        <is>
          <t>連携先:CORINS（工事実績情報） | 用途:工事実績登録 | プロトコル:SOAP/REST</t>
        </is>
      </c>
      <c r="F239" s="43" t="n"/>
      <c r="G239" s="46" t="n"/>
    </row>
    <row r="240" ht="16" customHeight="1" s="33">
      <c r="A240" s="40" t="n">
        <v>223</v>
      </c>
      <c r="B240" s="41" t="inlineStr">
        <is>
          <t>他部門システムとの連携要件</t>
        </is>
      </c>
      <c r="C240" s="41" t="inlineStr">
        <is>
          <t>部門別連携仕様</t>
        </is>
      </c>
      <c r="D240" s="46" t="n"/>
      <c r="E240" s="41" t="inlineStr">
        <is>
          <t>連携先:国土交通省 電子納品 | 用途:成果物提出 | プロトコル:ファイル連携</t>
        </is>
      </c>
      <c r="F240" s="43" t="n"/>
      <c r="G240" s="46" t="n"/>
    </row>
    <row r="241" ht="16" customHeight="1" s="33">
      <c r="A241" s="40" t="n">
        <v>224</v>
      </c>
      <c r="B241" s="41" t="inlineStr">
        <is>
          <t>他部門システムとの連携要件</t>
        </is>
      </c>
      <c r="C241" s="41" t="inlineStr">
        <is>
          <t>部門別連携仕様</t>
        </is>
      </c>
      <c r="D241" s="46" t="n"/>
      <c r="E241" s="41" t="inlineStr">
        <is>
          <t>連携先:気象庁API | 用途:気象データ取得 | プロトコル:REST API</t>
        </is>
      </c>
      <c r="F241" s="43" t="n"/>
      <c r="G241" s="46" t="n"/>
    </row>
    <row r="242" ht="16" customHeight="1" s="33">
      <c r="A242" s="40" t="n">
        <v>225</v>
      </c>
      <c r="B242" s="41" t="inlineStr">
        <is>
          <t>他部門システムとの連携要件</t>
        </is>
      </c>
      <c r="C242" s="41" t="inlineStr">
        <is>
          <t>部門別連携仕様</t>
        </is>
      </c>
      <c r="D242" s="46" t="n"/>
      <c r="E242" s="41" t="inlineStr">
        <is>
          <t>連携先:国土地理院 | 用途:地図データ取得 | プロトコル:WMS/WMTS</t>
        </is>
      </c>
      <c r="F242" s="43" t="n"/>
      <c r="G242" s="46" t="n"/>
    </row>
    <row r="243" ht="16" customHeight="1" s="33">
      <c r="A243" s="40" t="n">
        <v>226</v>
      </c>
      <c r="B243" s="41" t="inlineStr">
        <is>
          <t>他部門システムとの連携要件</t>
        </is>
      </c>
      <c r="C243" s="41" t="inlineStr">
        <is>
          <t>部門別連携仕様</t>
        </is>
      </c>
      <c r="D243" s="46" t="n"/>
      <c r="E243" s="41" t="inlineStr">
        <is>
          <t>連携先:日本郵便 | 用途:住所正規化 | プロトコル:REST API</t>
        </is>
      </c>
      <c r="F243" s="43" t="n"/>
      <c r="G243" s="46" t="n"/>
    </row>
    <row r="244" ht="16" customHeight="1" s="33">
      <c r="A244" s="40" t="n">
        <v>227</v>
      </c>
      <c r="B244" s="41" t="inlineStr">
        <is>
          <t>他部門システムとの連携要件</t>
        </is>
      </c>
      <c r="C244" s="41" t="inlineStr">
        <is>
          <t>部門別連携仕様</t>
        </is>
      </c>
      <c r="D244" s="46" t="n"/>
      <c r="E244" s="41" t="inlineStr">
        <is>
          <t>連携先:HENNGE | 用途:SSO認証連携 | プロトコル:SAML/OIDC</t>
        </is>
      </c>
      <c r="F244" s="43" t="n"/>
      <c r="G244" s="46" t="n"/>
    </row>
    <row r="245" ht="16" customHeight="1" s="33">
      <c r="A245" s="40" t="n">
        <v>228</v>
      </c>
      <c r="B245" s="41" t="inlineStr">
        <is>
          <t>他部門システムとの連携要件</t>
        </is>
      </c>
      <c r="C245" s="41" t="inlineStr">
        <is>
          <t>部門別連携仕様</t>
        </is>
      </c>
      <c r="D245" s="46" t="n"/>
      <c r="E245" s="41" t="inlineStr">
        <is>
          <t>連携先:Azure OpenAI | 用途:AI推論 | プロトコル:REST API</t>
        </is>
      </c>
      <c r="F245" s="43" t="n"/>
      <c r="G245" s="46" t="n"/>
    </row>
    <row r="246" ht="32" customHeight="1" s="33">
      <c r="A246" s="40" t="n">
        <v>229</v>
      </c>
      <c r="B246" s="41" t="inlineStr">
        <is>
          <t>他部門システムとの連携要件</t>
        </is>
      </c>
      <c r="C246" s="41" t="inlineStr">
        <is>
          <t>部門別連携仕様</t>
        </is>
      </c>
      <c r="D246" s="46" t="n"/>
      <c r="E246" s="41" t="inlineStr">
        <is>
          <t>階層:Hot | 用途:直近1ヶ月のアクティブデータ | ストレージ種別:SSD（NVMe） | アクセス頻度:高頻度 | コスト:高</t>
        </is>
      </c>
      <c r="F246" s="43" t="n"/>
      <c r="G246" s="46" t="n"/>
    </row>
    <row r="247" ht="32" customHeight="1" s="33">
      <c r="A247" s="40" t="n">
        <v>230</v>
      </c>
      <c r="B247" s="41" t="inlineStr">
        <is>
          <t>他部門システムとの連携要件</t>
        </is>
      </c>
      <c r="C247" s="41" t="inlineStr">
        <is>
          <t>部門別連携仕様</t>
        </is>
      </c>
      <c r="D247" s="46" t="n"/>
      <c r="E247" s="41" t="inlineStr">
        <is>
          <t>階層:Warm | 用途:1ヶ月〜1年のデータ | ストレージ種別:HDD（RAID） | アクセス頻度:中頻度 | コスト:中</t>
        </is>
      </c>
      <c r="F247" s="43" t="n"/>
      <c r="G247" s="46" t="n"/>
    </row>
    <row r="248" ht="32" customHeight="1" s="33">
      <c r="A248" s="40" t="n">
        <v>231</v>
      </c>
      <c r="B248" s="41" t="inlineStr">
        <is>
          <t>他部門システムとの連携要件</t>
        </is>
      </c>
      <c r="C248" s="41" t="inlineStr">
        <is>
          <t>部門別連携仕様</t>
        </is>
      </c>
      <c r="D248" s="46" t="n"/>
      <c r="E248" s="41" t="inlineStr">
        <is>
          <t>階層:Cold | 用途:1年〜5年のアーカイブ | ストレージ種別:オブジェクトストレージ | アクセス頻度:低頻度 | コスト:低</t>
        </is>
      </c>
      <c r="F248" s="43" t="n"/>
      <c r="G248" s="46" t="n"/>
    </row>
    <row r="249" ht="32" customHeight="1" s="33">
      <c r="A249" s="40" t="n">
        <v>232</v>
      </c>
      <c r="B249" s="41" t="inlineStr">
        <is>
          <t>他部門システムとの連携要件</t>
        </is>
      </c>
      <c r="C249" s="41" t="inlineStr">
        <is>
          <t>部門別連携仕様</t>
        </is>
      </c>
      <c r="D249" s="46" t="n"/>
      <c r="E249" s="41" t="inlineStr">
        <is>
          <t>階層:Archive | 用途:5年以上の長期保管 | ストレージ種別:Glacier互換 | アクセス頻度:極低頻度 | コスト:最低</t>
        </is>
      </c>
      <c r="F249" s="43" t="n"/>
      <c r="G249" s="46" t="n"/>
    </row>
    <row r="250" ht="32" customHeight="1" s="33">
      <c r="A250" s="40" t="n">
        <v>233</v>
      </c>
      <c r="B250" s="41" t="inlineStr">
        <is>
          <t>他部門システムとの連携要件</t>
        </is>
      </c>
      <c r="C250" s="41" t="inlineStr">
        <is>
          <t>部門別連携仕様</t>
        </is>
      </c>
      <c r="D250" s="46" t="n"/>
      <c r="E250" s="41" t="inlineStr">
        <is>
          <t>対象:PostgreSQL | バックアップ方式:WALアーカイブ + ベースバックアップ | 頻度:継続的 + 日次 | 保持期間:30世代 | RPO:5分 | RTO:1時間</t>
        </is>
      </c>
      <c r="F250" s="43" t="n"/>
      <c r="G250" s="46" t="n"/>
    </row>
    <row r="251" ht="32" customHeight="1" s="33">
      <c r="A251" s="40" t="n">
        <v>234</v>
      </c>
      <c r="B251" s="41" t="inlineStr">
        <is>
          <t>他部門システムとの連携要件</t>
        </is>
      </c>
      <c r="C251" s="41" t="inlineStr">
        <is>
          <t>部門別連携仕様</t>
        </is>
      </c>
      <c r="D251" s="46" t="n"/>
      <c r="E251" s="41" t="inlineStr">
        <is>
          <t>対象:TimescaleDB | バックアップ方式:連続アーカイブ | 頻度:継続的 | 保持期間:14日 | RPO:5分 | RTO:2時間</t>
        </is>
      </c>
      <c r="F251" s="43" t="n"/>
      <c r="G251" s="46" t="n"/>
    </row>
    <row r="252" ht="32" customHeight="1" s="33">
      <c r="A252" s="40" t="n">
        <v>235</v>
      </c>
      <c r="B252" s="41" t="inlineStr">
        <is>
          <t>他部門システムとの連携要件</t>
        </is>
      </c>
      <c r="C252" s="41" t="inlineStr">
        <is>
          <t>部門別連携仕様</t>
        </is>
      </c>
      <c r="D252" s="46" t="n"/>
      <c r="E252" s="41" t="inlineStr">
        <is>
          <t>対象:Elasticsearch | バックアップ方式:スナップショット | 頻度:日次 | 保持期間:7世代 | RPO:24時間 | RTO:4時間</t>
        </is>
      </c>
      <c r="F252" s="43" t="n"/>
      <c r="G252" s="46" t="n"/>
    </row>
    <row r="253" ht="32" customHeight="1" s="33">
      <c r="A253" s="40" t="n">
        <v>236</v>
      </c>
      <c r="B253" s="41" t="inlineStr">
        <is>
          <t>他部門システムとの連携要件</t>
        </is>
      </c>
      <c r="C253" s="41" t="inlineStr">
        <is>
          <t>部門別連携仕様</t>
        </is>
      </c>
      <c r="D253" s="46" t="n"/>
      <c r="E253" s="41" t="inlineStr">
        <is>
          <t>対象:オブジェクトストレージ | バックアップ方式:クロスリージョンレプリケーション | 頻度:リアルタイム | 保持期間:N/A | RPO:0 | RTO:即時</t>
        </is>
      </c>
      <c r="F253" s="43" t="n"/>
      <c r="G253" s="46" t="n"/>
    </row>
    <row r="254" ht="32" customHeight="1" s="33">
      <c r="A254" s="40" t="n">
        <v>237</v>
      </c>
      <c r="B254" s="41" t="inlineStr">
        <is>
          <t>他部門システムとの連携要件</t>
        </is>
      </c>
      <c r="C254" s="41" t="inlineStr">
        <is>
          <t>部門別連携仕様</t>
        </is>
      </c>
      <c r="D254" s="46" t="n"/>
      <c r="E254" s="41" t="inlineStr">
        <is>
          <t>対象:Kafka | バックアップ方式:ミラーメーカー | 頻度:リアルタイム | 保持期間:7日 | RPO:数秒 | RTO:30分</t>
        </is>
      </c>
      <c r="F254" s="43" t="n"/>
      <c r="G254" s="46" t="n"/>
    </row>
    <row r="255" ht="32" customHeight="1" s="33">
      <c r="A255" s="40" t="n">
        <v>238</v>
      </c>
      <c r="B255" s="41" t="inlineStr">
        <is>
          <t>他部門システムとの連携要件</t>
        </is>
      </c>
      <c r="C255" s="41" t="inlineStr">
        <is>
          <t>部門別連携仕様</t>
        </is>
      </c>
      <c r="D255" s="46" t="n"/>
      <c r="E255" s="41" t="inlineStr">
        <is>
          <t>対象:BIM/CIMモデル | バックアップ方式:バージョン管理 + 差分バックアップ | 頻度:日次 | 保持期間:永年 | RPO:24時間 | RTO:8時間</t>
        </is>
      </c>
      <c r="F255" s="43" t="n"/>
      <c r="G255" s="46" t="n"/>
    </row>
    <row r="256" ht="16" customHeight="1" s="33">
      <c r="A256" s="40" t="n">
        <v>239</v>
      </c>
      <c r="B256" s="41" t="inlineStr">
        <is>
          <t>他部門システムとの連携要件</t>
        </is>
      </c>
      <c r="C256" s="41" t="inlineStr">
        <is>
          <t>部門別連携仕様</t>
        </is>
      </c>
      <c r="D256" s="46" t="n"/>
      <c r="E256" s="41" t="inlineStr">
        <is>
          <t>項目:ETLバッチ処理時間 | 要件:日次フルロード：2時間以内</t>
        </is>
      </c>
      <c r="F256" s="43" t="n"/>
      <c r="G256" s="46" t="n"/>
    </row>
    <row r="257" ht="16" customHeight="1" s="33">
      <c r="A257" s="40" t="n">
        <v>240</v>
      </c>
      <c r="B257" s="41" t="inlineStr">
        <is>
          <t>他部門システムとの連携要件</t>
        </is>
      </c>
      <c r="C257" s="41" t="inlineStr">
        <is>
          <t>部門別連携仕様</t>
        </is>
      </c>
      <c r="D257" s="46" t="n"/>
      <c r="E257" s="41" t="inlineStr">
        <is>
          <t>項目:ストリーム処理レイテンシ | 要件:End-to-End：5秒以内</t>
        </is>
      </c>
      <c r="F257" s="43" t="n"/>
      <c r="G257" s="46" t="n"/>
    </row>
    <row r="258" ht="16" customHeight="1" s="33">
      <c r="A258" s="40" t="n">
        <v>241</v>
      </c>
      <c r="B258" s="41" t="inlineStr">
        <is>
          <t>他部門システムとの連携要件</t>
        </is>
      </c>
      <c r="C258" s="41" t="inlineStr">
        <is>
          <t>部門別連携仕様</t>
        </is>
      </c>
      <c r="D258" s="46" t="n"/>
      <c r="E258" s="41" t="inlineStr">
        <is>
          <t>項目:API応答時間 | 要件:95パーセンタイル：500ms以内</t>
        </is>
      </c>
      <c r="F258" s="43" t="n"/>
      <c r="G258" s="46" t="n"/>
    </row>
    <row r="259" ht="16" customHeight="1" s="33">
      <c r="A259" s="40" t="n">
        <v>242</v>
      </c>
      <c r="B259" s="41" t="inlineStr">
        <is>
          <t>他部門システムとの連携要件</t>
        </is>
      </c>
      <c r="C259" s="41" t="inlineStr">
        <is>
          <t>部門別連携仕様</t>
        </is>
      </c>
      <c r="D259" s="46" t="n"/>
      <c r="E259" s="41" t="inlineStr">
        <is>
          <t>項目:BIクエリ応答 | 要件:標準ダッシュボード：3秒以内</t>
        </is>
      </c>
      <c r="F259" s="43" t="n"/>
      <c r="G259" s="46" t="n"/>
    </row>
    <row r="260" ht="16" customHeight="1" s="33">
      <c r="A260" s="40" t="n">
        <v>243</v>
      </c>
      <c r="B260" s="41" t="inlineStr">
        <is>
          <t>他部門システムとの連携要件</t>
        </is>
      </c>
      <c r="C260" s="41" t="inlineStr">
        <is>
          <t>部門別連携仕様</t>
        </is>
      </c>
      <c r="D260" s="46" t="n"/>
      <c r="E260" s="41" t="inlineStr">
        <is>
          <t>項目:3Dモデルロード | 要件:初回ロード：10秒以内（100MBモデル）</t>
        </is>
      </c>
      <c r="F260" s="43" t="n"/>
      <c r="G260" s="46" t="n"/>
    </row>
    <row r="261" ht="16" customHeight="1" s="33">
      <c r="A261" s="40" t="n">
        <v>244</v>
      </c>
      <c r="B261" s="41" t="inlineStr">
        <is>
          <t>他部門システムとの連携要件</t>
        </is>
      </c>
      <c r="C261" s="41" t="inlineStr">
        <is>
          <t>部門別連携仕様</t>
        </is>
      </c>
      <c r="D261" s="46" t="n"/>
      <c r="E261" s="41" t="inlineStr">
        <is>
          <t>項目:同時API接続数 | 要件:500接続以上</t>
        </is>
      </c>
      <c r="F261" s="43" t="n"/>
      <c r="G261" s="46" t="n"/>
    </row>
    <row r="262" ht="16" customHeight="1" s="33">
      <c r="A262" s="40" t="n">
        <v>245</v>
      </c>
      <c r="B262" s="41" t="inlineStr">
        <is>
          <t>他部門システムとの連携要件</t>
        </is>
      </c>
      <c r="C262" s="41" t="inlineStr">
        <is>
          <t>部門別連携仕様</t>
        </is>
      </c>
      <c r="D262" s="46" t="n"/>
      <c r="E262" s="41" t="inlineStr">
        <is>
          <t>項目:データレイク総容量 | 要件:初年度：5TB、5年後：50TB想定</t>
        </is>
      </c>
      <c r="F262" s="43" t="n"/>
      <c r="G262" s="46" t="n"/>
    </row>
    <row r="263" ht="16" customHeight="1" s="33">
      <c r="A263" s="40" t="n">
        <v>246</v>
      </c>
      <c r="B263" s="41" t="inlineStr">
        <is>
          <t>他部門システムとの連携要件</t>
        </is>
      </c>
      <c r="C263" s="41" t="inlineStr">
        <is>
          <t>部門別連携仕様</t>
        </is>
      </c>
      <c r="D263" s="46" t="n"/>
      <c r="E263" s="41" t="inlineStr">
        <is>
          <t>項目:システム稼働率 | 要件:99.9%（月間停止43分以内）</t>
        </is>
      </c>
      <c r="F263" s="43" t="n"/>
      <c r="G263" s="46" t="n"/>
    </row>
    <row r="264" ht="16" customHeight="1" s="33">
      <c r="A264" s="40" t="n">
        <v>247</v>
      </c>
      <c r="B264" s="41" t="inlineStr">
        <is>
          <t>他部門システムとの連携要件</t>
        </is>
      </c>
      <c r="C264" s="41" t="inlineStr">
        <is>
          <t>部門別連携仕様</t>
        </is>
      </c>
      <c r="D264" s="46" t="n"/>
      <c r="E264" s="41" t="inlineStr">
        <is>
          <t>項目:計画停止 | 要件:月1回、日曜深夜2:00-6:00</t>
        </is>
      </c>
      <c r="F264" s="43" t="n"/>
      <c r="G264" s="46" t="n"/>
    </row>
    <row r="265" ht="16" customHeight="1" s="33">
      <c r="A265" s="40" t="n">
        <v>248</v>
      </c>
      <c r="B265" s="41" t="inlineStr">
        <is>
          <t>他部門システムとの連携要件</t>
        </is>
      </c>
      <c r="C265" s="41" t="inlineStr">
        <is>
          <t>部門別連携仕様</t>
        </is>
      </c>
      <c r="D265" s="46" t="n"/>
      <c r="E265" s="41" t="inlineStr">
        <is>
          <t>項目:データ損失許容 | 要件:RPO: 5分（重要データ）、24時間（参照データ）</t>
        </is>
      </c>
      <c r="F265" s="43" t="n"/>
      <c r="G265" s="46" t="n"/>
    </row>
    <row r="266" ht="16" customHeight="1" s="33">
      <c r="A266" s="40" t="n">
        <v>249</v>
      </c>
      <c r="B266" s="41" t="inlineStr">
        <is>
          <t>他部門システムとの連携要件</t>
        </is>
      </c>
      <c r="C266" s="41" t="inlineStr">
        <is>
          <t>部門別連携仕様</t>
        </is>
      </c>
      <c r="D266" s="46" t="n"/>
      <c r="E266" s="41" t="inlineStr">
        <is>
          <t>項目:復旧時間 | 要件:RTO: 1時間（コアサービス）、4時間（分析基盤）</t>
        </is>
      </c>
      <c r="F266" s="43" t="n"/>
      <c r="G266" s="46" t="n"/>
    </row>
    <row r="267" ht="32" customHeight="1" s="33">
      <c r="A267" s="40" t="n">
        <v>250</v>
      </c>
      <c r="B267" s="41" t="inlineStr">
        <is>
          <t>他部門システムとの連携要件</t>
        </is>
      </c>
      <c r="C267" s="41" t="inlineStr">
        <is>
          <t>部門別連携仕様</t>
        </is>
      </c>
      <c r="D267" s="46" t="n"/>
      <c r="E267" s="41" t="inlineStr">
        <is>
          <t>役割:データプラットフォームオーナー | 責任:基盤全体の方針策定・予算管理 | 担当:IT-DX部門長</t>
        </is>
      </c>
      <c r="F267" s="43" t="n"/>
      <c r="G267" s="46" t="n"/>
    </row>
    <row r="268" ht="32" customHeight="1" s="33">
      <c r="A268" s="40" t="n">
        <v>251</v>
      </c>
      <c r="B268" s="41" t="inlineStr">
        <is>
          <t>他部門システムとの連携要件</t>
        </is>
      </c>
      <c r="C268" s="41" t="inlineStr">
        <is>
          <t>部門別連携仕様</t>
        </is>
      </c>
      <c r="D268" s="46" t="n"/>
      <c r="E268" s="41" t="inlineStr">
        <is>
          <t>役割:データエンジニア | 責任:ETLパイプライン開発・運用 | 担当:IT-DX部門（2名）</t>
        </is>
      </c>
      <c r="F268" s="43" t="n"/>
      <c r="G268" s="46" t="n"/>
    </row>
    <row r="269" ht="32" customHeight="1" s="33">
      <c r="A269" s="40" t="n">
        <v>252</v>
      </c>
      <c r="B269" s="41" t="inlineStr">
        <is>
          <t>他部門システムとの連携要件</t>
        </is>
      </c>
      <c r="C269" s="41" t="inlineStr">
        <is>
          <t>部門別連携仕様</t>
        </is>
      </c>
      <c r="D269" s="46" t="n"/>
      <c r="E269" s="41" t="inlineStr">
        <is>
          <t>役割:データスチュワード | 責任:データ品質管理・カタログ管理 | 担当:各部門兼任（11名）</t>
        </is>
      </c>
      <c r="F269" s="43" t="n"/>
      <c r="G269" s="46" t="n"/>
    </row>
    <row r="270" ht="32" customHeight="1" s="33">
      <c r="A270" s="40" t="n">
        <v>253</v>
      </c>
      <c r="B270" s="41" t="inlineStr">
        <is>
          <t>他部門システムとの連携要件</t>
        </is>
      </c>
      <c r="C270" s="41" t="inlineStr">
        <is>
          <t>部門別連携仕様</t>
        </is>
      </c>
      <c r="D270" s="46" t="n"/>
      <c r="E270" s="41" t="inlineStr">
        <is>
          <t>役割:MLエンジニア | 責任:AI/MLモデル開発・MLOps | 担当:IT-DX部門（1名）</t>
        </is>
      </c>
      <c r="F270" s="43" t="n"/>
      <c r="G270" s="46" t="n"/>
    </row>
    <row r="271" ht="32" customHeight="1" s="33">
      <c r="A271" s="40" t="n">
        <v>254</v>
      </c>
      <c r="B271" s="41" t="inlineStr">
        <is>
          <t>他部門システムとの連携要件</t>
        </is>
      </c>
      <c r="C271" s="41" t="inlineStr">
        <is>
          <t>部門別連携仕様</t>
        </is>
      </c>
      <c r="D271" s="46" t="n"/>
      <c r="E271" s="41" t="inlineStr">
        <is>
          <t>役割:インフラエンジニア | 責任:基盤インフラ運用・監視 | 担当:IT-DX部門（1名）</t>
        </is>
      </c>
      <c r="F271" s="43" t="n"/>
      <c r="G271" s="46" t="n"/>
    </row>
    <row r="272" ht="32" customHeight="1" s="33">
      <c r="A272" s="40" t="n">
        <v>255</v>
      </c>
      <c r="B272" s="41" t="inlineStr">
        <is>
          <t>他部門システムとの連携要件</t>
        </is>
      </c>
      <c r="C272" s="41" t="inlineStr">
        <is>
          <t>部門別連携仕様</t>
        </is>
      </c>
      <c r="D272" s="46" t="n"/>
      <c r="E272" s="41" t="inlineStr">
        <is>
          <t>サービス:データ鮮度（日次バッチ） | SLA:営業日9:00までに前日データ反映 | 測定方法:Airflow DAG完了時刻</t>
        </is>
      </c>
      <c r="F272" s="43" t="n"/>
      <c r="G272" s="46" t="n"/>
    </row>
    <row r="273" ht="32" customHeight="1" s="33">
      <c r="A273" s="40" t="n">
        <v>256</v>
      </c>
      <c r="B273" s="41" t="inlineStr">
        <is>
          <t>他部門システムとの連携要件</t>
        </is>
      </c>
      <c r="C273" s="41" t="inlineStr">
        <is>
          <t>部門別連携仕様</t>
        </is>
      </c>
      <c r="D273" s="46" t="n"/>
      <c r="E273" s="41" t="inlineStr">
        <is>
          <t>サービス:データ鮮度（リアルタイム） | SLA:5分以内のデータ反映 | 測定方法:Kafkaコンシューマーラグ</t>
        </is>
      </c>
      <c r="F273" s="43" t="n"/>
      <c r="G273" s="46" t="n"/>
    </row>
    <row r="274" ht="16" customHeight="1" s="33">
      <c r="A274" s="40" t="n">
        <v>257</v>
      </c>
      <c r="B274" s="41" t="inlineStr">
        <is>
          <t>他部門システムとの連携要件</t>
        </is>
      </c>
      <c r="C274" s="41" t="inlineStr">
        <is>
          <t>部門別連携仕様</t>
        </is>
      </c>
      <c r="D274" s="46" t="n"/>
      <c r="E274" s="41" t="inlineStr">
        <is>
          <t>サービス:API可用性 | SLA:99.9% | 測定方法:Uptime監視</t>
        </is>
      </c>
      <c r="F274" s="43" t="n"/>
      <c r="G274" s="46" t="n"/>
    </row>
    <row r="275" ht="32" customHeight="1" s="33">
      <c r="A275" s="40" t="n">
        <v>258</v>
      </c>
      <c r="B275" s="41" t="inlineStr">
        <is>
          <t>他部門システムとの連携要件</t>
        </is>
      </c>
      <c r="C275" s="41" t="inlineStr">
        <is>
          <t>部門別連携仕様</t>
        </is>
      </c>
      <c r="D275" s="46" t="n"/>
      <c r="E275" s="41" t="inlineStr">
        <is>
          <t>サービス:データカタログ更新 | SLA:新データセット登録から24時間以内 | 測定方法:カタログ更新ログ</t>
        </is>
      </c>
      <c r="F275" s="43" t="n"/>
      <c r="G275" s="46" t="n"/>
    </row>
    <row r="276" ht="32" customHeight="1" s="33">
      <c r="A276" s="40" t="n">
        <v>259</v>
      </c>
      <c r="B276" s="41" t="inlineStr">
        <is>
          <t>他部門システムとの連携要件</t>
        </is>
      </c>
      <c r="C276" s="41" t="inlineStr">
        <is>
          <t>部門別連携仕様</t>
        </is>
      </c>
      <c r="D276" s="46" t="n"/>
      <c r="E276" s="41" t="inlineStr">
        <is>
          <t>サービス:インシデント対応 | SLA:P1: 30分以内、P2: 2時間以内 | 測定方法:チケット応答時間</t>
        </is>
      </c>
      <c r="F276" s="43" t="n"/>
      <c r="G276" s="46" t="n"/>
    </row>
    <row r="277" ht="32" customHeight="1" s="33">
      <c r="A277" s="40" t="n">
        <v>260</v>
      </c>
      <c r="B277" s="41" t="inlineStr">
        <is>
          <t>他部門システムとの連携要件</t>
        </is>
      </c>
      <c r="C277" s="41" t="inlineStr">
        <is>
          <t>部門別連携仕様</t>
        </is>
      </c>
      <c r="D277" s="46" t="n"/>
      <c r="E277" s="41" t="inlineStr">
        <is>
          <t>連携元部門:経営企画部 | 提供データ:KPI目標値 | 受領データ:全社集計KPI、AI予測値</t>
        </is>
      </c>
      <c r="F277" s="43" t="n"/>
      <c r="G277" s="46" t="n"/>
    </row>
    <row r="278" ht="32" customHeight="1" s="33">
      <c r="A278" s="40" t="n">
        <v>261</v>
      </c>
      <c r="B278" s="41" t="inlineStr">
        <is>
          <t>他部門システムとの連携要件</t>
        </is>
      </c>
      <c r="C278" s="41" t="inlineStr">
        <is>
          <t>部門別連携仕様</t>
        </is>
      </c>
      <c r="D278" s="46" t="n"/>
      <c r="E278" s="41" t="inlineStr">
        <is>
          <t>連携元部門:営業本部 | 提供データ:案件・入札データ | 受領データ:受注確度予測、顧客分析</t>
        </is>
      </c>
      <c r="F278" s="43" t="n"/>
      <c r="G278" s="46" t="n"/>
    </row>
    <row r="279" ht="32" customHeight="1" s="33">
      <c r="A279" s="40" t="n">
        <v>262</v>
      </c>
      <c r="B279" s="41" t="inlineStr">
        <is>
          <t>他部門システムとの連携要件</t>
        </is>
      </c>
      <c r="C279" s="41" t="inlineStr">
        <is>
          <t>部門別連携仕様</t>
        </is>
      </c>
      <c r="D279" s="46" t="n"/>
      <c r="E279" s="41" t="inlineStr">
        <is>
          <t>連携元部門:ソリューション営業本部 | 提供データ:DXソリューション実績 | 受領データ:技術トレンド分析</t>
        </is>
      </c>
      <c r="F279" s="43" t="n"/>
      <c r="G279" s="46" t="n"/>
    </row>
    <row r="280" ht="32" customHeight="1" s="33">
      <c r="A280" s="40" t="n">
        <v>263</v>
      </c>
      <c r="B280" s="41" t="inlineStr">
        <is>
          <t>他部門システムとの連携要件</t>
        </is>
      </c>
      <c r="C280" s="41" t="inlineStr">
        <is>
          <t>部門別連携仕様</t>
        </is>
      </c>
      <c r="D280" s="46" t="n"/>
      <c r="E280" s="41" t="inlineStr">
        <is>
          <t>連携元部門:施工本部 | 提供データ:工程・原価・IoTデータ | 受領データ:利益予測、安全アラート</t>
        </is>
      </c>
      <c r="F280" s="43" t="n"/>
      <c r="G280" s="46" t="n"/>
    </row>
    <row r="281" ht="32" customHeight="1" s="33">
      <c r="A281" s="40" t="n">
        <v>264</v>
      </c>
      <c r="B281" s="41" t="inlineStr">
        <is>
          <t>他部門システムとの連携要件</t>
        </is>
      </c>
      <c r="C281" s="41" t="inlineStr">
        <is>
          <t>部門別連携仕様</t>
        </is>
      </c>
      <c r="D281" s="46" t="n"/>
      <c r="E281" s="41" t="inlineStr">
        <is>
          <t>連携元部門:技術本部 | 提供データ:技術文書、BIMモデル | 受領データ:RAG検索結果、地盤分析</t>
        </is>
      </c>
      <c r="F281" s="43" t="n"/>
      <c r="G281" s="46" t="n"/>
    </row>
    <row r="282" ht="32" customHeight="1" s="33">
      <c r="A282" s="40" t="n">
        <v>265</v>
      </c>
      <c r="B282" s="41" t="inlineStr">
        <is>
          <t>他部門システムとの連携要件</t>
        </is>
      </c>
      <c r="C282" s="41" t="inlineStr">
        <is>
          <t>部門別連携仕様</t>
        </is>
      </c>
      <c r="D282" s="46" t="n"/>
      <c r="E282" s="41" t="inlineStr">
        <is>
          <t>連携元部門:安全品質環境本部 | 提供データ:安全・品質・環境データ | 受領データ:危険度予測、NCR分析</t>
        </is>
      </c>
      <c r="F282" s="43" t="n"/>
      <c r="G282" s="46" t="n"/>
    </row>
    <row r="283" ht="32" customHeight="1" s="33">
      <c r="A283" s="40" t="n">
        <v>266</v>
      </c>
      <c r="B283" s="41" t="inlineStr">
        <is>
          <t>他部門システムとの連携要件</t>
        </is>
      </c>
      <c r="C283" s="41" t="inlineStr">
        <is>
          <t>部門別連携仕様</t>
        </is>
      </c>
      <c r="D283" s="46" t="n"/>
      <c r="E283" s="41" t="inlineStr">
        <is>
          <t>連携元部門:管理本部 | 提供データ:会計・人事・契約データ | 受領データ:人材配置最適化、コスト分析</t>
        </is>
      </c>
      <c r="F283" s="43" t="n"/>
      <c r="G283" s="46" t="n"/>
    </row>
    <row r="284" ht="16" customHeight="1" s="33">
      <c r="A284" s="40" t="n">
        <v>267</v>
      </c>
      <c r="B284" s="41" t="inlineStr">
        <is>
          <t>他部門システムとの連携要件</t>
        </is>
      </c>
      <c r="C284" s="41" t="inlineStr">
        <is>
          <t>部門別連携仕様</t>
        </is>
      </c>
      <c r="D284" s="46" t="n"/>
      <c r="E284" s="41" t="inlineStr">
        <is>
          <t>連携元部門:購買部 | 提供データ:発注・在庫データ | 受領データ:価格予測、発注最適化</t>
        </is>
      </c>
      <c r="F284" s="43" t="n"/>
      <c r="G284" s="46" t="n"/>
    </row>
    <row r="285" ht="32" customHeight="1" s="33">
      <c r="A285" s="40" t="n">
        <v>268</v>
      </c>
      <c r="B285" s="41" t="inlineStr">
        <is>
          <t>他部門システムとの連携要件</t>
        </is>
      </c>
      <c r="C285" s="41" t="inlineStr">
        <is>
          <t>部門別連携仕様</t>
        </is>
      </c>
      <c r="D285" s="46" t="n"/>
      <c r="E285" s="41" t="inlineStr">
        <is>
          <t>連携元部門:船舶事業部 | 提供データ:運航・燃料データ | 受領データ:燃費最適化、航路分析</t>
        </is>
      </c>
      <c r="F285" s="43" t="n"/>
      <c r="G285" s="46" t="n"/>
    </row>
    <row r="286" ht="32" customHeight="1" s="33">
      <c r="A286" s="40" t="n">
        <v>269</v>
      </c>
      <c r="B286" s="41" t="inlineStr">
        <is>
          <t>他部門システムとの連携要件</t>
        </is>
      </c>
      <c r="C286" s="41" t="inlineStr">
        <is>
          <t>部門別連携仕様</t>
        </is>
      </c>
      <c r="D286" s="46" t="n"/>
      <c r="E286" s="41" t="inlineStr">
        <is>
          <t>連携元部門:IT-DX部門 | 提供データ:インシデント・CMDBデータ | 受領データ:障害予測、セキュリティ分析</t>
        </is>
      </c>
      <c r="F286" s="43" t="n"/>
      <c r="G286" s="46" t="n"/>
    </row>
    <row r="287" ht="16" customHeight="1" s="33"/>
    <row r="288" ht="32" customHeight="1" s="33">
      <c r="A288" s="47" t="inlineStr">
        <is>
          <t>合計業務項目数: 269件</t>
        </is>
      </c>
    </row>
  </sheetData>
  <autoFilter ref="A4:G286"/>
  <mergeCells count="15">
    <mergeCell ref="A123:G123"/>
    <mergeCell ref="A19:G19"/>
    <mergeCell ref="A132:G132"/>
    <mergeCell ref="A1:G1"/>
    <mergeCell ref="A80:G80"/>
    <mergeCell ref="A5:G5"/>
    <mergeCell ref="A100:G100"/>
    <mergeCell ref="A139:G139"/>
    <mergeCell ref="A2:G2"/>
    <mergeCell ref="A15:G15"/>
    <mergeCell ref="A52:G52"/>
    <mergeCell ref="A65:G65"/>
    <mergeCell ref="A112:G112"/>
    <mergeCell ref="A33:G33"/>
    <mergeCell ref="A155:G15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94560"/>
    <outlinePr summaryBelow="1" summaryRight="1"/>
    <pageSetUpPr fitToPage="0"/>
  </sheetPr>
  <dimension ref="A1:K3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2" min="1" max="1"/>
    <col width="20" customWidth="1" style="32" min="2" max="2"/>
    <col width="22" customWidth="1" style="32" min="3" max="3"/>
    <col width="52" customWidth="1" style="32" min="4" max="4"/>
    <col width="14" customWidth="1" style="32" min="5" max="5"/>
    <col width="36" customWidth="1" style="32" min="6" max="7"/>
    <col width="36" customWidth="1" style="33" min="7" max="7"/>
    <col width="14" customWidth="1" style="32" min="8" max="11"/>
    <col width="14" customWidth="1" style="33" min="9" max="9"/>
    <col width="14" customWidth="1" style="33" min="10" max="10"/>
    <col width="14" customWidth="1" style="33" min="11" max="11"/>
  </cols>
  <sheetData>
    <row r="1" ht="38" customHeight="1" s="33">
      <c r="A1" s="48" t="inlineStr">
        <is>
          <t>業務チェック確認シート — 統合データ基盤</t>
        </is>
      </c>
    </row>
    <row r="2" ht="22" customHeight="1" s="33">
      <c r="A2" s="49" t="inlineStr">
        <is>
          <t>※ 各業務項目の内容を確認し、チェック欄に記入してください。修正・追加がある場合はコメント欄に記入してください。</t>
        </is>
      </c>
    </row>
    <row r="3" ht="24" customHeight="1" s="33">
      <c r="A3" s="50" t="inlineStr">
        <is>
          <t>【凡例】 確認結果: OK=内容に問題なし / NG=修正が必要 / 追加=新規業務の追加要望 / 削除=不要な業務 　　記入者欄に氏名・日付を記入</t>
        </is>
      </c>
    </row>
    <row r="5" ht="15" customHeight="1" s="33">
      <c r="A5" s="51" t="inlineStr">
        <is>
          <t>No.</t>
        </is>
      </c>
      <c r="B5" s="52" t="inlineStr">
        <is>
          <t>大分類</t>
        </is>
      </c>
      <c r="C5" s="52" t="inlineStr">
        <is>
          <t>中分類</t>
        </is>
      </c>
      <c r="D5" s="52" t="inlineStr">
        <is>
          <t>業務項目</t>
        </is>
      </c>
      <c r="E5" s="52" t="inlineStr">
        <is>
          <t>確認結果</t>
        </is>
      </c>
      <c r="F5" s="52" t="inlineStr">
        <is>
          <t>修正内容・コメント</t>
        </is>
      </c>
      <c r="G5" s="52" t="inlineStr">
        <is>
          <t>追加業務（新規）</t>
        </is>
      </c>
      <c r="H5" s="52" t="inlineStr">
        <is>
          <t>優先度評価</t>
        </is>
      </c>
      <c r="I5" s="52" t="inlineStr">
        <is>
          <t>記入者</t>
        </is>
      </c>
      <c r="J5" s="52" t="inlineStr">
        <is>
          <t>記入日</t>
        </is>
      </c>
      <c r="K5" s="52" t="inlineStr">
        <is>
          <t>承認者</t>
        </is>
      </c>
    </row>
    <row r="6" ht="32" customHeight="1" s="33">
      <c r="A6" s="53" t="inlineStr">
        <is>
          <t>■ 部門概要と業務範囲</t>
        </is>
      </c>
      <c r="B6" s="54" t="n"/>
      <c r="C6" s="54" t="n"/>
      <c r="D6" s="54" t="n"/>
      <c r="E6" s="55" t="n"/>
      <c r="F6" s="54" t="n"/>
      <c r="G6" s="54" t="n"/>
      <c r="H6" s="55" t="n"/>
      <c r="I6" s="55" t="n"/>
      <c r="J6" s="55" t="n"/>
      <c r="K6" s="55" t="n"/>
    </row>
    <row r="7" ht="16" customHeight="1" s="33">
      <c r="A7" s="56" t="n">
        <v>1</v>
      </c>
      <c r="B7" s="41" t="inlineStr">
        <is>
          <t>部門概要と業務範囲</t>
        </is>
      </c>
      <c r="C7" s="41" t="inlineStr">
        <is>
          <t>業務範囲</t>
        </is>
      </c>
      <c r="D7" s="41" t="inlineStr">
        <is>
          <t>データ収集・統合: 全社システムからのデータ収集、ETLパイプライン運用</t>
        </is>
      </c>
      <c r="E7" s="56" t="n"/>
      <c r="F7" s="44" t="n"/>
      <c r="G7" s="44" t="n"/>
      <c r="H7" s="56" t="n"/>
      <c r="I7" s="56" t="n"/>
      <c r="J7" s="56" t="n"/>
      <c r="K7" s="56" t="n"/>
    </row>
    <row r="8" ht="16" customHeight="1" s="33">
      <c r="A8" s="56" t="n">
        <v>2</v>
      </c>
      <c r="B8" s="41" t="inlineStr">
        <is>
          <t>部門概要と業務範囲</t>
        </is>
      </c>
      <c r="C8" s="41" t="inlineStr">
        <is>
          <t>業務範囲</t>
        </is>
      </c>
      <c r="D8" s="41" t="inlineStr">
        <is>
          <t>データガバナンス: データ品質管理、メタデータ管理、アクセス制御</t>
        </is>
      </c>
      <c r="E8" s="56" t="n"/>
      <c r="F8" s="44" t="n"/>
      <c r="G8" s="44" t="n"/>
      <c r="H8" s="56" t="n"/>
      <c r="I8" s="56" t="n"/>
      <c r="J8" s="56" t="n"/>
      <c r="K8" s="56" t="n"/>
    </row>
    <row r="9" ht="16" customHeight="1" s="33">
      <c r="A9" s="56" t="n">
        <v>3</v>
      </c>
      <c r="B9" s="41" t="inlineStr">
        <is>
          <t>部門概要と業務範囲</t>
        </is>
      </c>
      <c r="C9" s="41" t="inlineStr">
        <is>
          <t>業務範囲</t>
        </is>
      </c>
      <c r="D9" s="41" t="inlineStr">
        <is>
          <t>データカタログ: 全社データ資産の可視化・検索・利活用促進</t>
        </is>
      </c>
      <c r="E9" s="56" t="n"/>
      <c r="F9" s="44" t="n"/>
      <c r="G9" s="44" t="n"/>
      <c r="H9" s="56" t="n"/>
      <c r="I9" s="56" t="n"/>
      <c r="J9" s="56" t="n"/>
      <c r="K9" s="56" t="n"/>
    </row>
    <row r="10" ht="16" customHeight="1" s="33">
      <c r="A10" s="56" t="n">
        <v>4</v>
      </c>
      <c r="B10" s="41" t="inlineStr">
        <is>
          <t>部門概要と業務範囲</t>
        </is>
      </c>
      <c r="C10" s="41" t="inlineStr">
        <is>
          <t>業務範囲</t>
        </is>
      </c>
      <c r="D10" s="41" t="inlineStr">
        <is>
          <t>マスタデータ管理（MDM）: 全社共通マスタの一元管理・配信</t>
        </is>
      </c>
      <c r="E10" s="56" t="n"/>
      <c r="F10" s="44" t="n"/>
      <c r="G10" s="44" t="n"/>
      <c r="H10" s="56" t="n"/>
      <c r="I10" s="56" t="n"/>
      <c r="J10" s="56" t="n"/>
      <c r="K10" s="56" t="n"/>
    </row>
    <row r="11" ht="16" customHeight="1" s="33">
      <c r="A11" s="56" t="n">
        <v>5</v>
      </c>
      <c r="B11" s="41" t="inlineStr">
        <is>
          <t>部門概要と業務範囲</t>
        </is>
      </c>
      <c r="C11" s="41" t="inlineStr">
        <is>
          <t>業務範囲</t>
        </is>
      </c>
      <c r="D11" s="41" t="inlineStr">
        <is>
          <t>データ分析基盤: BI・AI/ML向けデータマート提供</t>
        </is>
      </c>
      <c r="E11" s="56" t="n"/>
      <c r="F11" s="44" t="n"/>
      <c r="G11" s="44" t="n"/>
      <c r="H11" s="56" t="n"/>
      <c r="I11" s="56" t="n"/>
      <c r="J11" s="56" t="n"/>
      <c r="K11" s="56" t="n"/>
    </row>
    <row r="12" ht="16" customHeight="1" s="33">
      <c r="A12" s="56" t="n">
        <v>6</v>
      </c>
      <c r="B12" s="41" t="inlineStr">
        <is>
          <t>部門概要と業務範囲</t>
        </is>
      </c>
      <c r="C12" s="41" t="inlineStr">
        <is>
          <t>業務範囲</t>
        </is>
      </c>
      <c r="D12" s="44" t="inlineStr">
        <is>
          <t>MLOps: AI/MLモデルのライフサイクル管理</t>
        </is>
      </c>
      <c r="E12" s="56" t="n"/>
      <c r="F12" s="44" t="n"/>
      <c r="G12" s="44" t="n"/>
      <c r="H12" s="56" t="n"/>
      <c r="I12" s="56" t="n"/>
      <c r="J12" s="56" t="n"/>
      <c r="K12" s="56" t="n"/>
    </row>
    <row r="13" ht="16" customHeight="1" s="33">
      <c r="A13" s="56" t="n">
        <v>7</v>
      </c>
      <c r="B13" s="41" t="inlineStr">
        <is>
          <t>部門概要と業務範囲</t>
        </is>
      </c>
      <c r="C13" s="41" t="inlineStr">
        <is>
          <t>業務範囲</t>
        </is>
      </c>
      <c r="D13" s="41" t="inlineStr">
        <is>
          <t>デジタルツイン: 建設現場・インフラの3Dデジタルモデル運用</t>
        </is>
      </c>
      <c r="E13" s="56" t="n"/>
      <c r="F13" s="44" t="n"/>
      <c r="G13" s="44" t="n"/>
      <c r="H13" s="56" t="n"/>
      <c r="I13" s="56" t="n"/>
      <c r="J13" s="56" t="n"/>
      <c r="K13" s="56" t="n"/>
    </row>
    <row r="14" ht="16" customHeight="1" s="33">
      <c r="A14" s="56" t="n">
        <v>8</v>
      </c>
      <c r="B14" s="41" t="inlineStr">
        <is>
          <t>部門概要と業務範囲</t>
        </is>
      </c>
      <c r="C14" s="41" t="inlineStr">
        <is>
          <t>業務範囲</t>
        </is>
      </c>
      <c r="D14" s="44" t="inlineStr">
        <is>
          <t>API Gateway: 全社データAPIの統合管理・提供</t>
        </is>
      </c>
      <c r="E14" s="56" t="n"/>
      <c r="F14" s="44" t="n"/>
      <c r="G14" s="44" t="n"/>
      <c r="H14" s="56" t="n"/>
      <c r="I14" s="56" t="n"/>
      <c r="J14" s="56" t="n"/>
      <c r="K14" s="56" t="n"/>
    </row>
    <row r="15" ht="16" customHeight="1" s="33">
      <c r="A15" s="56" t="n">
        <v>9</v>
      </c>
      <c r="B15" s="41" t="inlineStr">
        <is>
          <t>部門概要と業務範囲</t>
        </is>
      </c>
      <c r="C15" s="41" t="inlineStr">
        <is>
          <t>業務範囲</t>
        </is>
      </c>
      <c r="D15" s="41" t="inlineStr">
        <is>
          <t>データレイク運用: ストレージ階層管理、コスト最適化</t>
        </is>
      </c>
      <c r="E15" s="56" t="n"/>
      <c r="F15" s="44" t="n"/>
      <c r="G15" s="44" t="n"/>
      <c r="H15" s="56" t="n"/>
      <c r="I15" s="56" t="n"/>
      <c r="J15" s="56" t="n"/>
      <c r="K15" s="56" t="n"/>
    </row>
    <row r="16" ht="32" customHeight="1" s="33">
      <c r="A16" s="57" t="inlineStr">
        <is>
          <t>■ ETLパイプライン運用業務</t>
        </is>
      </c>
      <c r="B16" s="54" t="n"/>
      <c r="C16" s="54" t="n"/>
      <c r="D16" s="54" t="n"/>
      <c r="E16" s="55" t="n"/>
      <c r="F16" s="54" t="n"/>
      <c r="G16" s="54" t="n"/>
      <c r="H16" s="55" t="n"/>
      <c r="I16" s="55" t="n"/>
      <c r="J16" s="55" t="n"/>
      <c r="K16" s="55" t="n"/>
    </row>
    <row r="17" ht="16" customHeight="1" s="33">
      <c r="A17" s="56" t="n">
        <v>10</v>
      </c>
      <c r="B17" s="44" t="inlineStr">
        <is>
          <t>ETLパイプライン運用業務</t>
        </is>
      </c>
      <c r="C17" s="41" t="inlineStr">
        <is>
          <t>データ収集パイプライン管理</t>
        </is>
      </c>
      <c r="D17" s="41" t="inlineStr">
        <is>
          <t>オーケストレーション: Apache Airflow によるDAG管理</t>
        </is>
      </c>
      <c r="E17" s="56" t="n"/>
      <c r="F17" s="44" t="n"/>
      <c r="G17" s="44" t="n"/>
      <c r="H17" s="56" t="n"/>
      <c r="I17" s="56" t="n"/>
      <c r="J17" s="56" t="n"/>
      <c r="K17" s="56" t="n"/>
    </row>
    <row r="18" ht="32" customHeight="1" s="33">
      <c r="A18" s="56" t="n">
        <v>11</v>
      </c>
      <c r="B18" s="44" t="inlineStr">
        <is>
          <t>ETLパイプライン運用業務</t>
        </is>
      </c>
      <c r="C18" s="41" t="inlineStr">
        <is>
          <t>データ収集パイプライン管理</t>
        </is>
      </c>
      <c r="D18" s="41" t="inlineStr">
        <is>
          <t>データ変換: dbt (Data Build Tool) による変換レイヤー</t>
        </is>
      </c>
      <c r="E18" s="56" t="n"/>
      <c r="F18" s="44" t="n"/>
      <c r="G18" s="44" t="n"/>
      <c r="H18" s="56" t="n"/>
      <c r="I18" s="56" t="n"/>
      <c r="J18" s="56" t="n"/>
      <c r="K18" s="56" t="n"/>
    </row>
    <row r="19" ht="32" customHeight="1" s="33">
      <c r="A19" s="56" t="n">
        <v>12</v>
      </c>
      <c r="B19" s="44" t="inlineStr">
        <is>
          <t>ETLパイプライン運用業務</t>
        </is>
      </c>
      <c r="C19" s="41" t="inlineStr">
        <is>
          <t>データ収集パイプライン管理</t>
        </is>
      </c>
      <c r="D19" s="41" t="inlineStr">
        <is>
          <t>ストリーム処理: Apache Kafka + Kafka Streams</t>
        </is>
      </c>
      <c r="E19" s="56" t="n"/>
      <c r="F19" s="44" t="n"/>
      <c r="G19" s="44" t="n"/>
      <c r="H19" s="56" t="n"/>
      <c r="I19" s="56" t="n"/>
      <c r="J19" s="56" t="n"/>
      <c r="K19" s="56" t="n"/>
    </row>
    <row r="20" ht="32" customHeight="1" s="33">
      <c r="A20" s="53" t="inlineStr">
        <is>
          <t>■ データガバナンス業務</t>
        </is>
      </c>
      <c r="B20" s="54" t="n"/>
      <c r="C20" s="54" t="n"/>
      <c r="D20" s="54" t="n"/>
      <c r="E20" s="55" t="n"/>
      <c r="F20" s="54" t="n"/>
      <c r="G20" s="54" t="n"/>
      <c r="H20" s="55" t="n"/>
      <c r="I20" s="55" t="n"/>
      <c r="J20" s="55" t="n"/>
      <c r="K20" s="55" t="n"/>
    </row>
    <row r="21" ht="16" customHeight="1" s="33">
      <c r="A21" s="56" t="n">
        <v>13</v>
      </c>
      <c r="B21" s="41" t="inlineStr">
        <is>
          <t>データガバナンス業務</t>
        </is>
      </c>
      <c r="C21" s="41" t="inlineStr">
        <is>
          <t>データ品質管理</t>
        </is>
      </c>
      <c r="D21" s="41" t="inlineStr">
        <is>
          <t>各データセットに対して品質スコア（0-100）を自動算出</t>
        </is>
      </c>
      <c r="E21" s="56" t="n"/>
      <c r="F21" s="44" t="n"/>
      <c r="G21" s="44" t="n"/>
      <c r="H21" s="56" t="n"/>
      <c r="I21" s="56" t="n"/>
      <c r="J21" s="56" t="n"/>
      <c r="K21" s="56" t="n"/>
    </row>
    <row r="22" ht="16" customHeight="1" s="33">
      <c r="A22" s="56" t="n">
        <v>14</v>
      </c>
      <c r="B22" s="41" t="inlineStr">
        <is>
          <t>データガバナンス業務</t>
        </is>
      </c>
      <c r="C22" s="41" t="inlineStr">
        <is>
          <t>データ品質管理</t>
        </is>
      </c>
      <c r="D22" s="41" t="inlineStr">
        <is>
          <t>スコア70未満のデータセットは利用制限（警告表示）</t>
        </is>
      </c>
      <c r="E22" s="56" t="n"/>
      <c r="F22" s="44" t="n"/>
      <c r="G22" s="44" t="n"/>
      <c r="H22" s="56" t="n"/>
      <c r="I22" s="56" t="n"/>
      <c r="J22" s="56" t="n"/>
      <c r="K22" s="56" t="n"/>
    </row>
    <row r="23" ht="16" customHeight="1" s="33">
      <c r="A23" s="56" t="n">
        <v>15</v>
      </c>
      <c r="B23" s="41" t="inlineStr">
        <is>
          <t>データガバナンス業務</t>
        </is>
      </c>
      <c r="C23" s="41" t="inlineStr">
        <is>
          <t>データ品質管理</t>
        </is>
      </c>
      <c r="D23" s="41" t="inlineStr">
        <is>
          <t>スコア50未満のデータセットは利用停止（自動遮断）</t>
        </is>
      </c>
      <c r="E23" s="56" t="n"/>
      <c r="F23" s="44" t="n"/>
      <c r="G23" s="44" t="n"/>
      <c r="H23" s="56" t="n"/>
      <c r="I23" s="56" t="n"/>
      <c r="J23" s="56" t="n"/>
      <c r="K23" s="56" t="n"/>
    </row>
    <row r="24" ht="16" customHeight="1" s="33">
      <c r="A24" s="56" t="n">
        <v>16</v>
      </c>
      <c r="B24" s="41" t="inlineStr">
        <is>
          <t>データガバナンス業務</t>
        </is>
      </c>
      <c r="C24" s="41" t="inlineStr">
        <is>
          <t>データ品質管理</t>
        </is>
      </c>
      <c r="D24" s="41" t="inlineStr">
        <is>
          <t>月次データ品質レポートを全社配信</t>
        </is>
      </c>
      <c r="E24" s="56" t="n"/>
      <c r="F24" s="44" t="n"/>
      <c r="G24" s="44" t="n"/>
      <c r="H24" s="56" t="n"/>
      <c r="I24" s="56" t="n"/>
      <c r="J24" s="56" t="n"/>
      <c r="K24" s="56" t="n"/>
    </row>
    <row r="25" ht="16" customHeight="1" s="33">
      <c r="A25" s="56" t="n">
        <v>17</v>
      </c>
      <c r="B25" s="41" t="inlineStr">
        <is>
          <t>データガバナンス業務</t>
        </is>
      </c>
      <c r="C25" s="41" t="inlineStr">
        <is>
          <t>データ品質管理</t>
        </is>
      </c>
      <c r="D25" s="44" t="inlineStr">
        <is>
          <t>dbt + OpenLineage によるデータ変換の系譜追跡</t>
        </is>
      </c>
      <c r="E25" s="56" t="n"/>
      <c r="F25" s="44" t="n"/>
      <c r="G25" s="44" t="n"/>
      <c r="H25" s="56" t="n"/>
      <c r="I25" s="56" t="n"/>
      <c r="J25" s="56" t="n"/>
      <c r="K25" s="56" t="n"/>
    </row>
    <row r="26" ht="16" customHeight="1" s="33">
      <c r="A26" s="56" t="n">
        <v>18</v>
      </c>
      <c r="B26" s="41" t="inlineStr">
        <is>
          <t>データガバナンス業務</t>
        </is>
      </c>
      <c r="C26" s="41" t="inlineStr">
        <is>
          <t>データ品質管理</t>
        </is>
      </c>
      <c r="D26" s="41" t="inlineStr">
        <is>
          <t>ソースからBIレポートまでのEnd-to-Endリネージ可視化</t>
        </is>
      </c>
      <c r="E26" s="56" t="n"/>
      <c r="F26" s="44" t="n"/>
      <c r="G26" s="44" t="n"/>
      <c r="H26" s="56" t="n"/>
      <c r="I26" s="56" t="n"/>
      <c r="J26" s="56" t="n"/>
      <c r="K26" s="56" t="n"/>
    </row>
    <row r="27" ht="16" customHeight="1" s="33">
      <c r="A27" s="56" t="n">
        <v>19</v>
      </c>
      <c r="B27" s="41" t="inlineStr">
        <is>
          <t>データガバナンス業務</t>
        </is>
      </c>
      <c r="C27" s="41" t="inlineStr">
        <is>
          <t>データ品質管理</t>
        </is>
      </c>
      <c r="D27" s="41" t="inlineStr">
        <is>
          <t>カラムレベルのリネージ追跡</t>
        </is>
      </c>
      <c r="E27" s="56" t="n"/>
      <c r="F27" s="44" t="n"/>
      <c r="G27" s="44" t="n"/>
      <c r="H27" s="56" t="n"/>
      <c r="I27" s="56" t="n"/>
      <c r="J27" s="56" t="n"/>
      <c r="K27" s="56" t="n"/>
    </row>
    <row r="28" ht="16" customHeight="1" s="33">
      <c r="A28" s="56" t="n">
        <v>20</v>
      </c>
      <c r="B28" s="41" t="inlineStr">
        <is>
          <t>データガバナンス業務</t>
        </is>
      </c>
      <c r="C28" s="41" t="inlineStr">
        <is>
          <t>データ品質管理</t>
        </is>
      </c>
      <c r="D28" s="41" t="inlineStr">
        <is>
          <t>影響分析（上流変更時の下流影響範囲特定）</t>
        </is>
      </c>
      <c r="E28" s="56" t="n"/>
      <c r="F28" s="44" t="n"/>
      <c r="G28" s="44" t="n"/>
      <c r="H28" s="56" t="n"/>
      <c r="I28" s="56" t="n"/>
      <c r="J28" s="56" t="n"/>
      <c r="K28" s="56" t="n"/>
    </row>
    <row r="29" ht="32" customHeight="1" s="33">
      <c r="A29" s="56" t="n">
        <v>21</v>
      </c>
      <c r="B29" s="41" t="inlineStr">
        <is>
          <t>データガバナンス業務</t>
        </is>
      </c>
      <c r="C29" s="41" t="inlineStr">
        <is>
          <t>データアクセス制御</t>
        </is>
      </c>
      <c r="D29" s="44" t="inlineStr">
        <is>
          <t>Entra ID グループベースのRBAC（Role-Based Access Control）</t>
        </is>
      </c>
      <c r="E29" s="56" t="n"/>
      <c r="F29" s="44" t="n"/>
      <c r="G29" s="44" t="n"/>
      <c r="H29" s="56" t="n"/>
      <c r="I29" s="56" t="n"/>
      <c r="J29" s="56" t="n"/>
      <c r="K29" s="56" t="n"/>
    </row>
    <row r="30" ht="16" customHeight="1" s="33">
      <c r="A30" s="56" t="n">
        <v>22</v>
      </c>
      <c r="B30" s="41" t="inlineStr">
        <is>
          <t>データガバナンス業務</t>
        </is>
      </c>
      <c r="C30" s="41" t="inlineStr">
        <is>
          <t>データアクセス制御</t>
        </is>
      </c>
      <c r="D30" s="44" t="inlineStr">
        <is>
          <t>Apache Ranger によるデータレイクレベルの細粒度アクセス制御</t>
        </is>
      </c>
      <c r="E30" s="56" t="n"/>
      <c r="F30" s="44" t="n"/>
      <c r="G30" s="44" t="n"/>
      <c r="H30" s="56" t="n"/>
      <c r="I30" s="56" t="n"/>
      <c r="J30" s="56" t="n"/>
      <c r="K30" s="56" t="n"/>
    </row>
    <row r="31" ht="16" customHeight="1" s="33">
      <c r="A31" s="56" t="n">
        <v>23</v>
      </c>
      <c r="B31" s="41" t="inlineStr">
        <is>
          <t>データガバナンス業務</t>
        </is>
      </c>
      <c r="C31" s="41" t="inlineStr">
        <is>
          <t>データアクセス制御</t>
        </is>
      </c>
      <c r="D31" s="41" t="inlineStr">
        <is>
          <t>カラムレベルマスキング（個人情報、原価情報）</t>
        </is>
      </c>
      <c r="E31" s="56" t="n"/>
      <c r="F31" s="44" t="n"/>
      <c r="G31" s="44" t="n"/>
      <c r="H31" s="56" t="n"/>
      <c r="I31" s="56" t="n"/>
      <c r="J31" s="56" t="n"/>
      <c r="K31" s="56" t="n"/>
    </row>
    <row r="32" ht="16" customHeight="1" s="33">
      <c r="A32" s="56" t="n">
        <v>24</v>
      </c>
      <c r="B32" s="41" t="inlineStr">
        <is>
          <t>データガバナンス業務</t>
        </is>
      </c>
      <c r="C32" s="41" t="inlineStr">
        <is>
          <t>データアクセス制御</t>
        </is>
      </c>
      <c r="D32" s="41" t="inlineStr">
        <is>
          <t>行レベルセキュリティ（部門・プロジェクト単位）</t>
        </is>
      </c>
      <c r="E32" s="56" t="n"/>
      <c r="F32" s="44" t="n"/>
      <c r="G32" s="44" t="n"/>
      <c r="H32" s="56" t="n"/>
      <c r="I32" s="56" t="n"/>
      <c r="J32" s="56" t="n"/>
      <c r="K32" s="56" t="n"/>
    </row>
    <row r="33" ht="16" customHeight="1" s="33">
      <c r="A33" s="56" t="n">
        <v>25</v>
      </c>
      <c r="B33" s="41" t="inlineStr">
        <is>
          <t>データガバナンス業務</t>
        </is>
      </c>
      <c r="C33" s="41" t="inlineStr">
        <is>
          <t>データアクセス制御</t>
        </is>
      </c>
      <c r="D33" s="41" t="inlineStr">
        <is>
          <t>アクセスログの完全記録・監査対応</t>
        </is>
      </c>
      <c r="E33" s="56" t="n"/>
      <c r="F33" s="44" t="n"/>
      <c r="G33" s="44" t="n"/>
      <c r="H33" s="56" t="n"/>
      <c r="I33" s="56" t="n"/>
      <c r="J33" s="56" t="n"/>
      <c r="K33" s="56" t="n"/>
    </row>
    <row r="34" ht="32" customHeight="1" s="33">
      <c r="A34" s="53" t="inlineStr">
        <is>
          <t>■ データカタログ管理業務</t>
        </is>
      </c>
      <c r="B34" s="54" t="n"/>
      <c r="C34" s="54" t="n"/>
      <c r="D34" s="54" t="n"/>
      <c r="E34" s="55" t="n"/>
      <c r="F34" s="54" t="n"/>
      <c r="G34" s="54" t="n"/>
      <c r="H34" s="55" t="n"/>
      <c r="I34" s="55" t="n"/>
      <c r="J34" s="55" t="n"/>
      <c r="K34" s="55" t="n"/>
    </row>
    <row r="35" ht="32" customHeight="1" s="33">
      <c r="A35" s="56" t="n">
        <v>26</v>
      </c>
      <c r="B35" s="41" t="inlineStr">
        <is>
          <t>データカタログ管理業務</t>
        </is>
      </c>
      <c r="C35" s="41" t="inlineStr">
        <is>
          <t>メタデータ管理</t>
        </is>
      </c>
      <c r="D35" s="41" t="inlineStr">
        <is>
          <t>技術メタデータ: テーブル定義、カラム型、パーティション情報、インデックス</t>
        </is>
      </c>
      <c r="E35" s="56" t="n"/>
      <c r="F35" s="44" t="n"/>
      <c r="G35" s="44" t="n"/>
      <c r="H35" s="56" t="n"/>
      <c r="I35" s="56" t="n"/>
      <c r="J35" s="56" t="n"/>
      <c r="K35" s="56" t="n"/>
    </row>
    <row r="36" ht="16" customHeight="1" s="33">
      <c r="A36" s="56" t="n">
        <v>27</v>
      </c>
      <c r="B36" s="41" t="inlineStr">
        <is>
          <t>データカタログ管理業務</t>
        </is>
      </c>
      <c r="C36" s="41" t="inlineStr">
        <is>
          <t>メタデータ管理</t>
        </is>
      </c>
      <c r="D36" s="41" t="inlineStr">
        <is>
          <t>ビジネスメタデータ: データオーナー、説明、分類タグ、利用用途</t>
        </is>
      </c>
      <c r="E36" s="56" t="n"/>
      <c r="F36" s="44" t="n"/>
      <c r="G36" s="44" t="n"/>
      <c r="H36" s="56" t="n"/>
      <c r="I36" s="56" t="n"/>
      <c r="J36" s="56" t="n"/>
      <c r="K36" s="56" t="n"/>
    </row>
    <row r="37" ht="16" customHeight="1" s="33">
      <c r="A37" s="56" t="n">
        <v>28</v>
      </c>
      <c r="B37" s="41" t="inlineStr">
        <is>
          <t>データカタログ管理業務</t>
        </is>
      </c>
      <c r="C37" s="41" t="inlineStr">
        <is>
          <t>メタデータ管理</t>
        </is>
      </c>
      <c r="D37" s="41" t="inlineStr">
        <is>
          <t>運用メタデータ: 更新頻度、最終更新日時、データ件数、サイズ</t>
        </is>
      </c>
      <c r="E37" s="56" t="n"/>
      <c r="F37" s="44" t="n"/>
      <c r="G37" s="44" t="n"/>
      <c r="H37" s="56" t="n"/>
      <c r="I37" s="56" t="n"/>
      <c r="J37" s="56" t="n"/>
      <c r="K37" s="56" t="n"/>
    </row>
    <row r="38" ht="16" customHeight="1" s="33">
      <c r="A38" s="56" t="n">
        <v>29</v>
      </c>
      <c r="B38" s="41" t="inlineStr">
        <is>
          <t>データカタログ管理業務</t>
        </is>
      </c>
      <c r="C38" s="41" t="inlineStr">
        <is>
          <t>メタデータ管理</t>
        </is>
      </c>
      <c r="D38" s="41" t="inlineStr">
        <is>
          <t>品質メタデータ: 品質スコア、テスト結果、異常検知履歴</t>
        </is>
      </c>
      <c r="E38" s="56" t="n"/>
      <c r="F38" s="44" t="n"/>
      <c r="G38" s="44" t="n"/>
      <c r="H38" s="56" t="n"/>
      <c r="I38" s="56" t="n"/>
      <c r="J38" s="56" t="n"/>
      <c r="K38" s="56" t="n"/>
    </row>
    <row r="39" ht="32" customHeight="1" s="33">
      <c r="A39" s="56" t="n">
        <v>30</v>
      </c>
      <c r="B39" s="41" t="inlineStr">
        <is>
          <t>データカタログ管理業務</t>
        </is>
      </c>
      <c r="C39" s="41" t="inlineStr">
        <is>
          <t>メタデータ管理</t>
        </is>
      </c>
      <c r="D39" s="41" t="inlineStr">
        <is>
          <t>全文検索: Elasticsearch + Kuromoji による日本語対応検索</t>
        </is>
      </c>
      <c r="E39" s="56" t="n"/>
      <c r="F39" s="44" t="n"/>
      <c r="G39" s="44" t="n"/>
      <c r="H39" s="56" t="n"/>
      <c r="I39" s="56" t="n"/>
      <c r="J39" s="56" t="n"/>
      <c r="K39" s="56" t="n"/>
    </row>
    <row r="40" ht="16" customHeight="1" s="33">
      <c r="A40" s="56" t="n">
        <v>31</v>
      </c>
      <c r="B40" s="41" t="inlineStr">
        <is>
          <t>データカタログ管理業務</t>
        </is>
      </c>
      <c r="C40" s="41" t="inlineStr">
        <is>
          <t>メタデータ管理</t>
        </is>
      </c>
      <c r="D40" s="41" t="inlineStr">
        <is>
          <t>タグ分類: 部門タグ、業務タグ、機密レベルタグの付与・検索</t>
        </is>
      </c>
      <c r="E40" s="56" t="n"/>
      <c r="F40" s="44" t="n"/>
      <c r="G40" s="44" t="n"/>
      <c r="H40" s="56" t="n"/>
      <c r="I40" s="56" t="n"/>
      <c r="J40" s="56" t="n"/>
      <c r="K40" s="56" t="n"/>
    </row>
    <row r="41" ht="16" customHeight="1" s="33">
      <c r="A41" s="56" t="n">
        <v>32</v>
      </c>
      <c r="B41" s="41" t="inlineStr">
        <is>
          <t>データカタログ管理業務</t>
        </is>
      </c>
      <c r="C41" s="41" t="inlineStr">
        <is>
          <t>メタデータ管理</t>
        </is>
      </c>
      <c r="D41" s="41" t="inlineStr">
        <is>
          <t>データプレビュー: サンプルデータ（最大100行）の即座表示</t>
        </is>
      </c>
      <c r="E41" s="56" t="n"/>
      <c r="F41" s="44" t="n"/>
      <c r="G41" s="44" t="n"/>
      <c r="H41" s="56" t="n"/>
      <c r="I41" s="56" t="n"/>
      <c r="J41" s="56" t="n"/>
      <c r="K41" s="56" t="n"/>
    </row>
    <row r="42" ht="16" customHeight="1" s="33">
      <c r="A42" s="56" t="n">
        <v>33</v>
      </c>
      <c r="B42" s="41" t="inlineStr">
        <is>
          <t>データカタログ管理業務</t>
        </is>
      </c>
      <c r="C42" s="41" t="inlineStr">
        <is>
          <t>メタデータ管理</t>
        </is>
      </c>
      <c r="D42" s="41" t="inlineStr">
        <is>
          <t>利用状況可視化: データセットごとのアクセス頻度・利用者数ダッシュボード</t>
        </is>
      </c>
      <c r="E42" s="56" t="n"/>
      <c r="F42" s="44" t="n"/>
      <c r="G42" s="44" t="n"/>
      <c r="H42" s="56" t="n"/>
      <c r="I42" s="56" t="n"/>
      <c r="J42" s="56" t="n"/>
      <c r="K42" s="56" t="n"/>
    </row>
    <row r="43" ht="16" customHeight="1" s="33">
      <c r="A43" s="56" t="n">
        <v>34</v>
      </c>
      <c r="B43" s="41" t="inlineStr">
        <is>
          <t>データカタログ管理業務</t>
        </is>
      </c>
      <c r="C43" s="41" t="inlineStr">
        <is>
          <t>メタデータ管理</t>
        </is>
      </c>
      <c r="D43" s="41" t="inlineStr">
        <is>
          <t>データリクエスト: 新規データ要求のワークフロー管理</t>
        </is>
      </c>
      <c r="E43" s="56" t="n"/>
      <c r="F43" s="44" t="n"/>
      <c r="G43" s="44" t="n"/>
      <c r="H43" s="56" t="n"/>
      <c r="I43" s="56" t="n"/>
      <c r="J43" s="56" t="n"/>
      <c r="K43" s="56" t="n"/>
    </row>
    <row r="44" ht="16" customHeight="1" s="33">
      <c r="A44" s="56" t="n">
        <v>35</v>
      </c>
      <c r="B44" s="41" t="inlineStr">
        <is>
          <t>データカタログ管理業務</t>
        </is>
      </c>
      <c r="C44" s="41" t="inlineStr">
        <is>
          <t>メタデータ管理</t>
        </is>
      </c>
      <c r="D44" s="41" t="inlineStr">
        <is>
          <t>用語集（Glossary）: 全社共通のビジネス用語定義管理</t>
        </is>
      </c>
      <c r="E44" s="56" t="n"/>
      <c r="F44" s="44" t="n"/>
      <c r="G44" s="44" t="n"/>
      <c r="H44" s="56" t="n"/>
      <c r="I44" s="56" t="n"/>
      <c r="J44" s="56" t="n"/>
      <c r="K44" s="56" t="n"/>
    </row>
    <row r="45" ht="16" customHeight="1" s="33">
      <c r="A45" s="56" t="n">
        <v>36</v>
      </c>
      <c r="B45" s="41" t="inlineStr">
        <is>
          <t>データカタログ管理業務</t>
        </is>
      </c>
      <c r="C45" s="41" t="inlineStr">
        <is>
          <t>メタデータ管理</t>
        </is>
      </c>
      <c r="D45" s="44" t="inlineStr">
        <is>
          <t>dbt manifest.json からのテーブル・カラム情報自動取得</t>
        </is>
      </c>
      <c r="E45" s="56" t="n"/>
      <c r="F45" s="44" t="n"/>
      <c r="G45" s="44" t="n"/>
      <c r="H45" s="56" t="n"/>
      <c r="I45" s="56" t="n"/>
      <c r="J45" s="56" t="n"/>
      <c r="K45" s="56" t="n"/>
    </row>
    <row r="46" ht="16" customHeight="1" s="33">
      <c r="A46" s="56" t="n">
        <v>37</v>
      </c>
      <c r="B46" s="41" t="inlineStr">
        <is>
          <t>データカタログ管理業務</t>
        </is>
      </c>
      <c r="C46" s="41" t="inlineStr">
        <is>
          <t>メタデータ管理</t>
        </is>
      </c>
      <c r="D46" s="44" t="inlineStr">
        <is>
          <t>Airflow DAG定義からのパイプライン情報自動取得</t>
        </is>
      </c>
      <c r="E46" s="56" t="n"/>
      <c r="F46" s="44" t="n"/>
      <c r="G46" s="44" t="n"/>
      <c r="H46" s="56" t="n"/>
      <c r="I46" s="56" t="n"/>
      <c r="J46" s="56" t="n"/>
      <c r="K46" s="56" t="n"/>
    </row>
    <row r="47" ht="32" customHeight="1" s="33">
      <c r="A47" s="56" t="n">
        <v>38</v>
      </c>
      <c r="B47" s="41" t="inlineStr">
        <is>
          <t>データカタログ管理業務</t>
        </is>
      </c>
      <c r="C47" s="41" t="inlineStr">
        <is>
          <t>メタデータ管理</t>
        </is>
      </c>
      <c r="D47" s="44" t="inlineStr">
        <is>
          <t>PostgreSQL information_schema からのスキーマ情報自動同期</t>
        </is>
      </c>
      <c r="E47" s="56" t="n"/>
      <c r="F47" s="44" t="n"/>
      <c r="G47" s="44" t="n"/>
      <c r="H47" s="56" t="n"/>
      <c r="I47" s="56" t="n"/>
      <c r="J47" s="56" t="n"/>
      <c r="K47" s="56" t="n"/>
    </row>
    <row r="48" ht="32" customHeight="1" s="33">
      <c r="A48" s="56" t="n">
        <v>39</v>
      </c>
      <c r="B48" s="41" t="inlineStr">
        <is>
          <t>データカタログ管理業務</t>
        </is>
      </c>
      <c r="C48" s="41" t="inlineStr">
        <is>
          <t>メタデータ管理</t>
        </is>
      </c>
      <c r="D48" s="44" t="inlineStr">
        <is>
          <t>Kafka Schema Registry からのイベントスキーマ自動取得</t>
        </is>
      </c>
      <c r="E48" s="56" t="n"/>
      <c r="F48" s="44" t="n"/>
      <c r="G48" s="44" t="n"/>
      <c r="H48" s="56" t="n"/>
      <c r="I48" s="56" t="n"/>
      <c r="J48" s="56" t="n"/>
      <c r="K48" s="56" t="n"/>
    </row>
    <row r="49" ht="16" customHeight="1" s="33">
      <c r="A49" s="56" t="n">
        <v>40</v>
      </c>
      <c r="B49" s="41" t="inlineStr">
        <is>
          <t>データカタログ管理業務</t>
        </is>
      </c>
      <c r="C49" s="41" t="inlineStr">
        <is>
          <t>データセット公開管理</t>
        </is>
      </c>
      <c r="D49" s="41" t="inlineStr">
        <is>
          <t>利用者によるレーティング（5段階）</t>
        </is>
      </c>
      <c r="E49" s="56" t="n"/>
      <c r="F49" s="44" t="n"/>
      <c r="G49" s="44" t="n"/>
      <c r="H49" s="56" t="n"/>
      <c r="I49" s="56" t="n"/>
      <c r="J49" s="56" t="n"/>
      <c r="K49" s="56" t="n"/>
    </row>
    <row r="50" ht="16" customHeight="1" s="33">
      <c r="A50" s="56" t="n">
        <v>41</v>
      </c>
      <c r="B50" s="41" t="inlineStr">
        <is>
          <t>データカタログ管理業務</t>
        </is>
      </c>
      <c r="C50" s="41" t="inlineStr">
        <is>
          <t>データセット公開管理</t>
        </is>
      </c>
      <c r="D50" s="41" t="inlineStr">
        <is>
          <t>利用者コメント・改善要望の収集</t>
        </is>
      </c>
      <c r="E50" s="56" t="n"/>
      <c r="F50" s="44" t="n"/>
      <c r="G50" s="44" t="n"/>
      <c r="H50" s="56" t="n"/>
      <c r="I50" s="56" t="n"/>
      <c r="J50" s="56" t="n"/>
      <c r="K50" s="56" t="n"/>
    </row>
    <row r="51" ht="16" customHeight="1" s="33">
      <c r="A51" s="56" t="n">
        <v>42</v>
      </c>
      <c r="B51" s="41" t="inlineStr">
        <is>
          <t>データカタログ管理業務</t>
        </is>
      </c>
      <c r="C51" s="41" t="inlineStr">
        <is>
          <t>データセット公開管理</t>
        </is>
      </c>
      <c r="D51" s="41" t="inlineStr">
        <is>
          <t>人気データセットランキング（月次）</t>
        </is>
      </c>
      <c r="E51" s="56" t="n"/>
      <c r="F51" s="44" t="n"/>
      <c r="G51" s="44" t="n"/>
      <c r="H51" s="56" t="n"/>
      <c r="I51" s="56" t="n"/>
      <c r="J51" s="56" t="n"/>
      <c r="K51" s="56" t="n"/>
    </row>
    <row r="52" ht="16" customHeight="1" s="33">
      <c r="A52" s="56" t="n">
        <v>43</v>
      </c>
      <c r="B52" s="41" t="inlineStr">
        <is>
          <t>データカタログ管理業務</t>
        </is>
      </c>
      <c r="C52" s="41" t="inlineStr">
        <is>
          <t>データセット公開管理</t>
        </is>
      </c>
      <c r="D52" s="41" t="inlineStr">
        <is>
          <t>未利用データセットの定期レビュー・廃止検討</t>
        </is>
      </c>
      <c r="E52" s="56" t="n"/>
      <c r="F52" s="44" t="n"/>
      <c r="G52" s="44" t="n"/>
      <c r="H52" s="56" t="n"/>
      <c r="I52" s="56" t="n"/>
      <c r="J52" s="56" t="n"/>
      <c r="K52" s="56" t="n"/>
    </row>
    <row r="53" ht="48" customHeight="1" s="33">
      <c r="A53" s="53" t="inlineStr">
        <is>
          <t>■ マスタデータ管理（MDM）業務</t>
        </is>
      </c>
      <c r="B53" s="54" t="n"/>
      <c r="C53" s="54" t="n"/>
      <c r="D53" s="54" t="n"/>
      <c r="E53" s="55" t="n"/>
      <c r="F53" s="54" t="n"/>
      <c r="G53" s="54" t="n"/>
      <c r="H53" s="55" t="n"/>
      <c r="I53" s="55" t="n"/>
      <c r="J53" s="55" t="n"/>
      <c r="K53" s="55" t="n"/>
    </row>
    <row r="54" ht="32" customHeight="1" s="33">
      <c r="A54" s="56" t="n">
        <v>44</v>
      </c>
      <c r="B54" s="41" t="inlineStr">
        <is>
          <t>マスタデータ管理（MDM）業務</t>
        </is>
      </c>
      <c r="C54" s="44" t="inlineStr">
        <is>
          <t>MDM運用要件</t>
        </is>
      </c>
      <c r="D54" s="44" t="inlineStr">
        <is>
          <t>Golden Record方式: 各ソースシステムのデータを統合し、信頼性の高い単一レコードを生成</t>
        </is>
      </c>
      <c r="E54" s="56" t="n"/>
      <c r="F54" s="44" t="n"/>
      <c r="G54" s="44" t="n"/>
      <c r="H54" s="56" t="n"/>
      <c r="I54" s="56" t="n"/>
      <c r="J54" s="56" t="n"/>
      <c r="K54" s="56" t="n"/>
    </row>
    <row r="55" ht="32" customHeight="1" s="33">
      <c r="A55" s="56" t="n">
        <v>45</v>
      </c>
      <c r="B55" s="41" t="inlineStr">
        <is>
          <t>マスタデータ管理（MDM）業務</t>
        </is>
      </c>
      <c r="C55" s="44" t="inlineStr">
        <is>
          <t>MDM運用要件</t>
        </is>
      </c>
      <c r="D55" s="41" t="inlineStr">
        <is>
          <t>双方向同期: マスタ変更は管理部門から配信、各システムのローカル変更は承認後マスタへ反映</t>
        </is>
      </c>
      <c r="E55" s="56" t="n"/>
      <c r="F55" s="44" t="n"/>
      <c r="G55" s="44" t="n"/>
      <c r="H55" s="56" t="n"/>
      <c r="I55" s="56" t="n"/>
      <c r="J55" s="56" t="n"/>
      <c r="K55" s="56" t="n"/>
    </row>
    <row r="56" ht="32" customHeight="1" s="33">
      <c r="A56" s="56" t="n">
        <v>46</v>
      </c>
      <c r="B56" s="41" t="inlineStr">
        <is>
          <t>マスタデータ管理（MDM）業務</t>
        </is>
      </c>
      <c r="C56" s="44" t="inlineStr">
        <is>
          <t>MDM運用要件</t>
        </is>
      </c>
      <c r="D56" s="41" t="inlineStr">
        <is>
          <t>同期プロトコル: REST API（プル型）+ Kafkaイベント（プッシュ型）の併用</t>
        </is>
      </c>
      <c r="E56" s="56" t="n"/>
      <c r="F56" s="44" t="n"/>
      <c r="G56" s="44" t="n"/>
      <c r="H56" s="56" t="n"/>
      <c r="I56" s="56" t="n"/>
      <c r="J56" s="56" t="n"/>
      <c r="K56" s="56" t="n"/>
    </row>
    <row r="57" ht="32" customHeight="1" s="33">
      <c r="A57" s="56" t="n">
        <v>47</v>
      </c>
      <c r="B57" s="41" t="inlineStr">
        <is>
          <t>マスタデータ管理（MDM）業務</t>
        </is>
      </c>
      <c r="C57" s="44" t="inlineStr">
        <is>
          <t>MDM運用要件</t>
        </is>
      </c>
      <c r="D57" s="41" t="inlineStr">
        <is>
          <t>競合解決: タイムスタンプベース + 管理部門優先ルール</t>
        </is>
      </c>
      <c r="E57" s="56" t="n"/>
      <c r="F57" s="44" t="n"/>
      <c r="G57" s="44" t="n"/>
      <c r="H57" s="56" t="n"/>
      <c r="I57" s="56" t="n"/>
      <c r="J57" s="56" t="n"/>
      <c r="K57" s="56" t="n"/>
    </row>
    <row r="58" ht="32" customHeight="1" s="33">
      <c r="A58" s="56" t="n">
        <v>48</v>
      </c>
      <c r="B58" s="41" t="inlineStr">
        <is>
          <t>マスタデータ管理（MDM）業務</t>
        </is>
      </c>
      <c r="C58" s="44" t="inlineStr">
        <is>
          <t>MDM運用要件</t>
        </is>
      </c>
      <c r="D58" s="41" t="inlineStr">
        <is>
          <t>変更申請 → 管理部門承認 → テスト環境反映 → 本番反映の4段階フロー</t>
        </is>
      </c>
      <c r="E58" s="56" t="n"/>
      <c r="F58" s="44" t="n"/>
      <c r="G58" s="44" t="n"/>
      <c r="H58" s="56" t="n"/>
      <c r="I58" s="56" t="n"/>
      <c r="J58" s="56" t="n"/>
      <c r="K58" s="56" t="n"/>
    </row>
    <row r="59" ht="32" customHeight="1" s="33">
      <c r="A59" s="56" t="n">
        <v>49</v>
      </c>
      <c r="B59" s="41" t="inlineStr">
        <is>
          <t>マスタデータ管理（MDM）業務</t>
        </is>
      </c>
      <c r="C59" s="44" t="inlineStr">
        <is>
          <t>MDM運用要件</t>
        </is>
      </c>
      <c r="D59" s="41" t="inlineStr">
        <is>
          <t>全変更履歴の完全保持（temporal table）</t>
        </is>
      </c>
      <c r="E59" s="56" t="n"/>
      <c r="F59" s="44" t="n"/>
      <c r="G59" s="44" t="n"/>
      <c r="H59" s="56" t="n"/>
      <c r="I59" s="56" t="n"/>
      <c r="J59" s="56" t="n"/>
      <c r="K59" s="56" t="n"/>
    </row>
    <row r="60" ht="32" customHeight="1" s="33">
      <c r="A60" s="56" t="n">
        <v>50</v>
      </c>
      <c r="B60" s="41" t="inlineStr">
        <is>
          <t>マスタデータ管理（MDM）業務</t>
        </is>
      </c>
      <c r="C60" s="44" t="inlineStr">
        <is>
          <t>MDM運用要件</t>
        </is>
      </c>
      <c r="D60" s="41" t="inlineStr">
        <is>
          <t>変更影響分析（依存システム一覧の自動表示）</t>
        </is>
      </c>
      <c r="E60" s="56" t="n"/>
      <c r="F60" s="44" t="n"/>
      <c r="G60" s="44" t="n"/>
      <c r="H60" s="56" t="n"/>
      <c r="I60" s="56" t="n"/>
      <c r="J60" s="56" t="n"/>
      <c r="K60" s="56" t="n"/>
    </row>
    <row r="61" ht="32" customHeight="1" s="33">
      <c r="A61" s="56" t="n">
        <v>51</v>
      </c>
      <c r="B61" s="41" t="inlineStr">
        <is>
          <t>マスタデータ管理（MDM）業務</t>
        </is>
      </c>
      <c r="C61" s="44" t="inlineStr">
        <is>
          <t>MDM運用要件</t>
        </is>
      </c>
      <c r="D61" s="41" t="inlineStr">
        <is>
          <t>大量変更時のバッチ処理対応（CSV一括インポート）</t>
        </is>
      </c>
      <c r="E61" s="56" t="n"/>
      <c r="F61" s="44" t="n"/>
      <c r="G61" s="44" t="n"/>
      <c r="H61" s="56" t="n"/>
      <c r="I61" s="56" t="n"/>
      <c r="J61" s="56" t="n"/>
      <c r="K61" s="56" t="n"/>
    </row>
    <row r="62" ht="32" customHeight="1" s="33">
      <c r="A62" s="56" t="n">
        <v>52</v>
      </c>
      <c r="B62" s="41" t="inlineStr">
        <is>
          <t>マスタデータ管理（MDM）業務</t>
        </is>
      </c>
      <c r="C62" s="44" t="inlineStr">
        <is>
          <t>MDM運用要件</t>
        </is>
      </c>
      <c r="D62" s="41" t="inlineStr">
        <is>
          <t>協力会社マスタの名寄せ（類似名称の統合提案、AI支援）</t>
        </is>
      </c>
      <c r="E62" s="56" t="n"/>
      <c r="F62" s="44" t="n"/>
      <c r="G62" s="44" t="n"/>
      <c r="H62" s="56" t="n"/>
      <c r="I62" s="56" t="n"/>
      <c r="J62" s="56" t="n"/>
      <c r="K62" s="56" t="n"/>
    </row>
    <row r="63" ht="32" customHeight="1" s="33">
      <c r="A63" s="56" t="n">
        <v>53</v>
      </c>
      <c r="B63" s="41" t="inlineStr">
        <is>
          <t>マスタデータ管理（MDM）業務</t>
        </is>
      </c>
      <c r="C63" s="44" t="inlineStr">
        <is>
          <t>MDM運用要件</t>
        </is>
      </c>
      <c r="D63" s="41" t="inlineStr">
        <is>
          <t>住所正規化（日本郵便APIとの連携）</t>
        </is>
      </c>
      <c r="E63" s="56" t="n"/>
      <c r="F63" s="44" t="n"/>
      <c r="G63" s="44" t="n"/>
      <c r="H63" s="56" t="n"/>
      <c r="I63" s="56" t="n"/>
      <c r="J63" s="56" t="n"/>
      <c r="K63" s="56" t="n"/>
    </row>
    <row r="64" ht="32" customHeight="1" s="33">
      <c r="A64" s="56" t="n">
        <v>54</v>
      </c>
      <c r="B64" s="41" t="inlineStr">
        <is>
          <t>マスタデータ管理（MDM）業務</t>
        </is>
      </c>
      <c r="C64" s="44" t="inlineStr">
        <is>
          <t>MDM運用要件</t>
        </is>
      </c>
      <c r="D64" s="41" t="inlineStr">
        <is>
          <t>電話番号フォーマット統一</t>
        </is>
      </c>
      <c r="E64" s="56" t="n"/>
      <c r="F64" s="44" t="n"/>
      <c r="G64" s="44" t="n"/>
      <c r="H64" s="56" t="n"/>
      <c r="I64" s="56" t="n"/>
      <c r="J64" s="56" t="n"/>
      <c r="K64" s="56" t="n"/>
    </row>
    <row r="65" ht="32" customHeight="1" s="33">
      <c r="A65" s="56" t="n">
        <v>55</v>
      </c>
      <c r="B65" s="41" t="inlineStr">
        <is>
          <t>マスタデータ管理（MDM）業務</t>
        </is>
      </c>
      <c r="C65" s="44" t="inlineStr">
        <is>
          <t>MDM運用要件</t>
        </is>
      </c>
      <c r="D65" s="41" t="inlineStr">
        <is>
          <t>法人番号（13桁）との照合による企業情報精度向上</t>
        </is>
      </c>
      <c r="E65" s="56" t="n"/>
      <c r="F65" s="44" t="n"/>
      <c r="G65" s="44" t="n"/>
      <c r="H65" s="56" t="n"/>
      <c r="I65" s="56" t="n"/>
      <c r="J65" s="56" t="n"/>
      <c r="K65" s="56" t="n"/>
    </row>
    <row r="66" ht="32" customHeight="1" s="33">
      <c r="A66" s="53" t="inlineStr">
        <is>
          <t>■ データ分析基盤業務</t>
        </is>
      </c>
      <c r="B66" s="54" t="n"/>
      <c r="C66" s="54" t="n"/>
      <c r="D66" s="54" t="n"/>
      <c r="E66" s="55" t="n"/>
      <c r="F66" s="54" t="n"/>
      <c r="G66" s="54" t="n"/>
      <c r="H66" s="55" t="n"/>
      <c r="I66" s="55" t="n"/>
      <c r="J66" s="55" t="n"/>
      <c r="K66" s="55" t="n"/>
    </row>
    <row r="67" ht="32" customHeight="1" s="33">
      <c r="A67" s="56" t="n">
        <v>56</v>
      </c>
      <c r="B67" s="41" t="inlineStr">
        <is>
          <t>データ分析基盤業務</t>
        </is>
      </c>
      <c r="C67" s="44" t="inlineStr">
        <is>
          <t>BIデータマート提供</t>
        </is>
      </c>
      <c r="D67" s="44" t="inlineStr">
        <is>
          <t>BIツール: Grafana（運用系）+ Metabase（業務系）の二本立て</t>
        </is>
      </c>
      <c r="E67" s="56" t="n"/>
      <c r="F67" s="44" t="n"/>
      <c r="G67" s="44" t="n"/>
      <c r="H67" s="56" t="n"/>
      <c r="I67" s="56" t="n"/>
      <c r="J67" s="56" t="n"/>
      <c r="K67" s="56" t="n"/>
    </row>
    <row r="68" ht="16" customHeight="1" s="33">
      <c r="A68" s="56" t="n">
        <v>57</v>
      </c>
      <c r="B68" s="41" t="inlineStr">
        <is>
          <t>データ分析基盤業務</t>
        </is>
      </c>
      <c r="C68" s="44" t="inlineStr">
        <is>
          <t>BIデータマート提供</t>
        </is>
      </c>
      <c r="D68" s="41" t="inlineStr">
        <is>
          <t>ダッシュボードテンプレート: 部門別標準ダッシュボードの事前定義</t>
        </is>
      </c>
      <c r="E68" s="56" t="n"/>
      <c r="F68" s="44" t="n"/>
      <c r="G68" s="44" t="n"/>
      <c r="H68" s="56" t="n"/>
      <c r="I68" s="56" t="n"/>
      <c r="J68" s="56" t="n"/>
      <c r="K68" s="56" t="n"/>
    </row>
    <row r="69" ht="16" customHeight="1" s="33">
      <c r="A69" s="56" t="n">
        <v>58</v>
      </c>
      <c r="B69" s="41" t="inlineStr">
        <is>
          <t>データ分析基盤業務</t>
        </is>
      </c>
      <c r="C69" s="44" t="inlineStr">
        <is>
          <t>BIデータマート提供</t>
        </is>
      </c>
      <c r="D69" s="41" t="inlineStr">
        <is>
          <t>アドホック分析: 業務ユーザーがSQLなしでドラッグ&amp;ドロップ分析可能</t>
        </is>
      </c>
      <c r="E69" s="56" t="n"/>
      <c r="F69" s="44" t="n"/>
      <c r="G69" s="44" t="n"/>
      <c r="H69" s="56" t="n"/>
      <c r="I69" s="56" t="n"/>
      <c r="J69" s="56" t="n"/>
      <c r="K69" s="56" t="n"/>
    </row>
    <row r="70" ht="32" customHeight="1" s="33">
      <c r="A70" s="56" t="n">
        <v>59</v>
      </c>
      <c r="B70" s="41" t="inlineStr">
        <is>
          <t>データ分析基盤業務</t>
        </is>
      </c>
      <c r="C70" s="44" t="inlineStr">
        <is>
          <t>BIデータマート提供</t>
        </is>
      </c>
      <c r="D70" s="41" t="inlineStr">
        <is>
          <t>レポート自動配信: PDF/Excel形式で定期配信（メール/Slack）</t>
        </is>
      </c>
      <c r="E70" s="56" t="n"/>
      <c r="F70" s="44" t="n"/>
      <c r="G70" s="44" t="n"/>
      <c r="H70" s="56" t="n"/>
      <c r="I70" s="56" t="n"/>
      <c r="J70" s="56" t="n"/>
      <c r="K70" s="56" t="n"/>
    </row>
    <row r="71" ht="16" customHeight="1" s="33">
      <c r="A71" s="56" t="n">
        <v>60</v>
      </c>
      <c r="B71" s="41" t="inlineStr">
        <is>
          <t>データ分析基盤業務</t>
        </is>
      </c>
      <c r="C71" s="44" t="inlineStr">
        <is>
          <t>BIデータマート提供</t>
        </is>
      </c>
      <c r="D71" s="41" t="inlineStr">
        <is>
          <t>モバイル対応: PWAによる現場からのダッシュボード参照</t>
        </is>
      </c>
      <c r="E71" s="56" t="n"/>
      <c r="F71" s="44" t="n"/>
      <c r="G71" s="44" t="n"/>
      <c r="H71" s="56" t="n"/>
      <c r="I71" s="56" t="n"/>
      <c r="J71" s="56" t="n"/>
      <c r="K71" s="56" t="n"/>
    </row>
    <row r="72" ht="16" customHeight="1" s="33">
      <c r="A72" s="56" t="n">
        <v>61</v>
      </c>
      <c r="B72" s="41" t="inlineStr">
        <is>
          <t>データ分析基盤業務</t>
        </is>
      </c>
      <c r="C72" s="44" t="inlineStr">
        <is>
          <t>AI/ML向けデータ提供</t>
        </is>
      </c>
      <c r="D72" s="41" t="inlineStr">
        <is>
          <t>全社AI/MLモデルで使用する特徴量の一元管理</t>
        </is>
      </c>
      <c r="E72" s="56" t="n"/>
      <c r="F72" s="44" t="n"/>
      <c r="G72" s="44" t="n"/>
      <c r="H72" s="56" t="n"/>
      <c r="I72" s="56" t="n"/>
      <c r="J72" s="56" t="n"/>
      <c r="K72" s="56" t="n"/>
    </row>
    <row r="73" ht="16" customHeight="1" s="33">
      <c r="A73" s="56" t="n">
        <v>62</v>
      </c>
      <c r="B73" s="41" t="inlineStr">
        <is>
          <t>データ分析基盤業務</t>
        </is>
      </c>
      <c r="C73" s="44" t="inlineStr">
        <is>
          <t>AI/ML向けデータ提供</t>
        </is>
      </c>
      <c r="D73" s="41" t="inlineStr">
        <is>
          <t>オンライン特徴量（リアルタイム推論用）: Redis</t>
        </is>
      </c>
      <c r="E73" s="56" t="n"/>
      <c r="F73" s="44" t="n"/>
      <c r="G73" s="44" t="n"/>
      <c r="H73" s="56" t="n"/>
      <c r="I73" s="56" t="n"/>
      <c r="J73" s="56" t="n"/>
      <c r="K73" s="56" t="n"/>
    </row>
    <row r="74" ht="16" customHeight="1" s="33">
      <c r="A74" s="56" t="n">
        <v>63</v>
      </c>
      <c r="B74" s="41" t="inlineStr">
        <is>
          <t>データ分析基盤業務</t>
        </is>
      </c>
      <c r="C74" s="44" t="inlineStr">
        <is>
          <t>AI/ML向けデータ提供</t>
        </is>
      </c>
      <c r="D74" s="41" t="inlineStr">
        <is>
          <t>オフライン特徴量（学習用）: PostgreSQL + Parquet</t>
        </is>
      </c>
      <c r="E74" s="56" t="n"/>
      <c r="F74" s="44" t="n"/>
      <c r="G74" s="44" t="n"/>
      <c r="H74" s="56" t="n"/>
      <c r="I74" s="56" t="n"/>
      <c r="J74" s="56" t="n"/>
      <c r="K74" s="56" t="n"/>
    </row>
    <row r="75" ht="16" customHeight="1" s="33">
      <c r="A75" s="56" t="n">
        <v>64</v>
      </c>
      <c r="B75" s="41" t="inlineStr">
        <is>
          <t>データ分析基盤業務</t>
        </is>
      </c>
      <c r="C75" s="44" t="inlineStr">
        <is>
          <t>AI/ML向けデータ提供</t>
        </is>
      </c>
      <c r="D75" s="41" t="inlineStr">
        <is>
          <t>特徴量バージョニング、リネージ追跡</t>
        </is>
      </c>
      <c r="E75" s="56" t="n"/>
      <c r="F75" s="44" t="n"/>
      <c r="G75" s="44" t="n"/>
      <c r="H75" s="56" t="n"/>
      <c r="I75" s="56" t="n"/>
      <c r="J75" s="56" t="n"/>
      <c r="K75" s="56" t="n"/>
    </row>
    <row r="76" ht="16" customHeight="1" s="33">
      <c r="A76" s="56" t="n">
        <v>65</v>
      </c>
      <c r="B76" s="41" t="inlineStr">
        <is>
          <t>データ分析基盤業務</t>
        </is>
      </c>
      <c r="C76" s="44" t="inlineStr">
        <is>
          <t>AI/ML向けデータ提供</t>
        </is>
      </c>
      <c r="D76" s="41" t="inlineStr">
        <is>
          <t>特徴量の再利用促進（カタログ化）</t>
        </is>
      </c>
      <c r="E76" s="56" t="n"/>
      <c r="F76" s="44" t="n"/>
      <c r="G76" s="44" t="n"/>
      <c r="H76" s="56" t="n"/>
      <c r="I76" s="56" t="n"/>
      <c r="J76" s="56" t="n"/>
      <c r="K76" s="56" t="n"/>
    </row>
    <row r="77" ht="16" customHeight="1" s="33">
      <c r="A77" s="56" t="n">
        <v>66</v>
      </c>
      <c r="B77" s="41" t="inlineStr">
        <is>
          <t>データ分析基盤業務</t>
        </is>
      </c>
      <c r="C77" s="44" t="inlineStr">
        <is>
          <t>AI/ML向けデータ提供</t>
        </is>
      </c>
      <c r="D77" s="41" t="inlineStr">
        <is>
          <t>モデル学習用データセットのバージョン管理（DVC互換）</t>
        </is>
      </c>
      <c r="E77" s="56" t="n"/>
      <c r="F77" s="44" t="n"/>
      <c r="G77" s="44" t="n"/>
      <c r="H77" s="56" t="n"/>
      <c r="I77" s="56" t="n"/>
      <c r="J77" s="56" t="n"/>
      <c r="K77" s="56" t="n"/>
    </row>
    <row r="78" ht="16" customHeight="1" s="33">
      <c r="A78" s="56" t="n">
        <v>67</v>
      </c>
      <c r="B78" s="41" t="inlineStr">
        <is>
          <t>データ分析基盤業務</t>
        </is>
      </c>
      <c r="C78" s="44" t="inlineStr">
        <is>
          <t>AI/ML向けデータ提供</t>
        </is>
      </c>
      <c r="D78" s="41" t="inlineStr">
        <is>
          <t>アノテーションデータの管理（画像ラベリング結果等）</t>
        </is>
      </c>
      <c r="E78" s="56" t="n"/>
      <c r="F78" s="44" t="n"/>
      <c r="G78" s="44" t="n"/>
      <c r="H78" s="56" t="n"/>
      <c r="I78" s="56" t="n"/>
      <c r="J78" s="56" t="n"/>
      <c r="K78" s="56" t="n"/>
    </row>
    <row r="79" ht="32" customHeight="1" s="33">
      <c r="A79" s="56" t="n">
        <v>68</v>
      </c>
      <c r="B79" s="41" t="inlineStr">
        <is>
          <t>データ分析基盤業務</t>
        </is>
      </c>
      <c r="C79" s="44" t="inlineStr">
        <is>
          <t>AI/ML向けデータ提供</t>
        </is>
      </c>
      <c r="D79" s="41" t="inlineStr">
        <is>
          <t>データセット分割（train/validation/test）の再現性保証</t>
        </is>
      </c>
      <c r="E79" s="56" t="n"/>
      <c r="F79" s="44" t="n"/>
      <c r="G79" s="44" t="n"/>
      <c r="H79" s="56" t="n"/>
      <c r="I79" s="56" t="n"/>
      <c r="J79" s="56" t="n"/>
      <c r="K79" s="56" t="n"/>
    </row>
    <row r="80" ht="16" customHeight="1" s="33">
      <c r="A80" s="56" t="n">
        <v>69</v>
      </c>
      <c r="B80" s="41" t="inlineStr">
        <is>
          <t>データ分析基盤業務</t>
        </is>
      </c>
      <c r="C80" s="44" t="inlineStr">
        <is>
          <t>AI/ML向けデータ提供</t>
        </is>
      </c>
      <c r="D80" s="41" t="inlineStr">
        <is>
          <t>データバイアス検出・公平性チェック</t>
        </is>
      </c>
      <c r="E80" s="56" t="n"/>
      <c r="F80" s="44" t="n"/>
      <c r="G80" s="44" t="n"/>
      <c r="H80" s="56" t="n"/>
      <c r="I80" s="56" t="n"/>
      <c r="J80" s="56" t="n"/>
      <c r="K80" s="56" t="n"/>
    </row>
    <row r="81" ht="32" customHeight="1" s="33">
      <c r="A81" s="57" t="inlineStr">
        <is>
          <t>■ MLOps業務</t>
        </is>
      </c>
      <c r="B81" s="54" t="n"/>
      <c r="C81" s="54" t="n"/>
      <c r="D81" s="54" t="n"/>
      <c r="E81" s="55" t="n"/>
      <c r="F81" s="54" t="n"/>
      <c r="G81" s="54" t="n"/>
      <c r="H81" s="55" t="n"/>
      <c r="I81" s="55" t="n"/>
      <c r="J81" s="55" t="n"/>
      <c r="K81" s="55" t="n"/>
    </row>
    <row r="82" ht="32" customHeight="1" s="33">
      <c r="A82" s="56" t="n">
        <v>70</v>
      </c>
      <c r="B82" s="44" t="inlineStr">
        <is>
          <t>MLOps業務</t>
        </is>
      </c>
      <c r="C82" s="41" t="inlineStr">
        <is>
          <t>モデルライフサイクル管理</t>
        </is>
      </c>
      <c r="D82" s="41" t="inlineStr">
        <is>
          <t>実験管理: MLflow によるパラメータ・メトリクス・アーティファクト追跡</t>
        </is>
      </c>
      <c r="E82" s="56" t="n"/>
      <c r="F82" s="44" t="n"/>
      <c r="G82" s="44" t="n"/>
      <c r="H82" s="56" t="n"/>
      <c r="I82" s="56" t="n"/>
      <c r="J82" s="56" t="n"/>
      <c r="K82" s="56" t="n"/>
    </row>
    <row r="83" ht="32" customHeight="1" s="33">
      <c r="A83" s="56" t="n">
        <v>71</v>
      </c>
      <c r="B83" s="44" t="inlineStr">
        <is>
          <t>MLOps業務</t>
        </is>
      </c>
      <c r="C83" s="41" t="inlineStr">
        <is>
          <t>モデルライフサイクル管理</t>
        </is>
      </c>
      <c r="D83" s="41" t="inlineStr">
        <is>
          <t>モデル登録: MLflow Model Registry によるバージョン管理</t>
        </is>
      </c>
      <c r="E83" s="56" t="n"/>
      <c r="F83" s="44" t="n"/>
      <c r="G83" s="44" t="n"/>
      <c r="H83" s="56" t="n"/>
      <c r="I83" s="56" t="n"/>
      <c r="J83" s="56" t="n"/>
      <c r="K83" s="56" t="n"/>
    </row>
    <row r="84" ht="32" customHeight="1" s="33">
      <c r="A84" s="56" t="n">
        <v>72</v>
      </c>
      <c r="B84" s="44" t="inlineStr">
        <is>
          <t>MLOps業務</t>
        </is>
      </c>
      <c r="C84" s="41" t="inlineStr">
        <is>
          <t>モデルライフサイクル管理</t>
        </is>
      </c>
      <c r="D84" s="41" t="inlineStr">
        <is>
          <t>モデルステージ: Staging → Production → Archived の3段階</t>
        </is>
      </c>
      <c r="E84" s="56" t="n"/>
      <c r="F84" s="44" t="n"/>
      <c r="G84" s="44" t="n"/>
      <c r="H84" s="56" t="n"/>
      <c r="I84" s="56" t="n"/>
      <c r="J84" s="56" t="n"/>
      <c r="K84" s="56" t="n"/>
    </row>
    <row r="85" ht="16" customHeight="1" s="33">
      <c r="A85" s="56" t="n">
        <v>73</v>
      </c>
      <c r="B85" s="44" t="inlineStr">
        <is>
          <t>MLOps業務</t>
        </is>
      </c>
      <c r="C85" s="41" t="inlineStr">
        <is>
          <t>モデルライフサイクル管理</t>
        </is>
      </c>
      <c r="D85" s="41" t="inlineStr">
        <is>
          <t>自動再学習: データドリフト検出時の自動再学習トリガー</t>
        </is>
      </c>
      <c r="E85" s="56" t="n"/>
      <c r="F85" s="44" t="n"/>
      <c r="G85" s="44" t="n"/>
      <c r="H85" s="56" t="n"/>
      <c r="I85" s="56" t="n"/>
      <c r="J85" s="56" t="n"/>
      <c r="K85" s="56" t="n"/>
    </row>
    <row r="86" ht="16" customHeight="1" s="33">
      <c r="A86" s="56" t="n">
        <v>74</v>
      </c>
      <c r="B86" s="44" t="inlineStr">
        <is>
          <t>MLOps業務</t>
        </is>
      </c>
      <c r="C86" s="41" t="inlineStr">
        <is>
          <t>モデルライフサイクル管理</t>
        </is>
      </c>
      <c r="D86" s="44" t="inlineStr">
        <is>
          <t>A/Bテスト: 新モデルの段階的ロールアウト（カナリアデプロイ）</t>
        </is>
      </c>
      <c r="E86" s="56" t="n"/>
      <c r="F86" s="44" t="n"/>
      <c r="G86" s="44" t="n"/>
      <c r="H86" s="56" t="n"/>
      <c r="I86" s="56" t="n"/>
      <c r="J86" s="56" t="n"/>
      <c r="K86" s="56" t="n"/>
    </row>
    <row r="87" ht="16" customHeight="1" s="33">
      <c r="A87" s="56" t="n">
        <v>75</v>
      </c>
      <c r="B87" s="44" t="inlineStr">
        <is>
          <t>MLOps業務</t>
        </is>
      </c>
      <c r="C87" s="41" t="inlineStr">
        <is>
          <t>モデルライフサイクル管理</t>
        </is>
      </c>
      <c r="D87" s="41" t="inlineStr">
        <is>
          <t>モデル監視: 推論精度、レイテンシ、データドリフトの継続的監視</t>
        </is>
      </c>
      <c r="E87" s="56" t="n"/>
      <c r="F87" s="44" t="n"/>
      <c r="G87" s="44" t="n"/>
      <c r="H87" s="56" t="n"/>
      <c r="I87" s="56" t="n"/>
      <c r="J87" s="56" t="n"/>
      <c r="K87" s="56" t="n"/>
    </row>
    <row r="88" ht="16" customHeight="1" s="33">
      <c r="A88" s="56" t="n">
        <v>76</v>
      </c>
      <c r="B88" s="44" t="inlineStr">
        <is>
          <t>MLOps業務</t>
        </is>
      </c>
      <c r="C88" s="41" t="inlineStr">
        <is>
          <t>モデルライフサイクル管理</t>
        </is>
      </c>
      <c r="D88" s="41" t="inlineStr">
        <is>
          <t>モデルカード（目的、学習データ、性能指標、制約事項）の必須記載</t>
        </is>
      </c>
      <c r="E88" s="56" t="n"/>
      <c r="F88" s="44" t="n"/>
      <c r="G88" s="44" t="n"/>
      <c r="H88" s="56" t="n"/>
      <c r="I88" s="56" t="n"/>
      <c r="J88" s="56" t="n"/>
      <c r="K88" s="56" t="n"/>
    </row>
    <row r="89" ht="16" customHeight="1" s="33">
      <c r="A89" s="56" t="n">
        <v>77</v>
      </c>
      <c r="B89" s="44" t="inlineStr">
        <is>
          <t>MLOps業務</t>
        </is>
      </c>
      <c r="C89" s="41" t="inlineStr">
        <is>
          <t>モデルライフサイクル管理</t>
        </is>
      </c>
      <c r="D89" s="41" t="inlineStr">
        <is>
          <t>公平性・バイアス評価レポートの作成</t>
        </is>
      </c>
      <c r="E89" s="56" t="n"/>
      <c r="F89" s="44" t="n"/>
      <c r="G89" s="44" t="n"/>
      <c r="H89" s="56" t="n"/>
      <c r="I89" s="56" t="n"/>
      <c r="J89" s="56" t="n"/>
      <c r="K89" s="56" t="n"/>
    </row>
    <row r="90" ht="16" customHeight="1" s="33">
      <c r="A90" s="56" t="n">
        <v>78</v>
      </c>
      <c r="B90" s="44" t="inlineStr">
        <is>
          <t>MLOps業務</t>
        </is>
      </c>
      <c r="C90" s="41" t="inlineStr">
        <is>
          <t>モデルライフサイクル管理</t>
        </is>
      </c>
      <c r="D90" s="41" t="inlineStr">
        <is>
          <t>モデル利用の監査ログ記録</t>
        </is>
      </c>
      <c r="E90" s="56" t="n"/>
      <c r="F90" s="44" t="n"/>
      <c r="G90" s="44" t="n"/>
      <c r="H90" s="56" t="n"/>
      <c r="I90" s="56" t="n"/>
      <c r="J90" s="56" t="n"/>
      <c r="K90" s="56" t="n"/>
    </row>
    <row r="91" ht="16" customHeight="1" s="33">
      <c r="A91" s="56" t="n">
        <v>79</v>
      </c>
      <c r="B91" s="44" t="inlineStr">
        <is>
          <t>MLOps業務</t>
        </is>
      </c>
      <c r="C91" s="41" t="inlineStr">
        <is>
          <t>モデルライフサイクル管理</t>
        </is>
      </c>
      <c r="D91" s="44" t="inlineStr">
        <is>
          <t>AI利用ガイドラインへの準拠チェック</t>
        </is>
      </c>
      <c r="E91" s="56" t="n"/>
      <c r="F91" s="44" t="n"/>
      <c r="G91" s="44" t="n"/>
      <c r="H91" s="56" t="n"/>
      <c r="I91" s="56" t="n"/>
      <c r="J91" s="56" t="n"/>
      <c r="K91" s="56" t="n"/>
    </row>
    <row r="92" ht="32" customHeight="1" s="33">
      <c r="A92" s="56" t="n">
        <v>80</v>
      </c>
      <c r="B92" s="44" t="inlineStr">
        <is>
          <t>MLOps業務</t>
        </is>
      </c>
      <c r="C92" s="44" t="inlineStr">
        <is>
          <t>Azure OpenAI運用管理</t>
        </is>
      </c>
      <c r="D92" s="44" t="inlineStr">
        <is>
          <t>APIキーのローテーション管理（90日サイクル）</t>
        </is>
      </c>
      <c r="E92" s="56" t="n"/>
      <c r="F92" s="44" t="n"/>
      <c r="G92" s="44" t="n"/>
      <c r="H92" s="56" t="n"/>
      <c r="I92" s="56" t="n"/>
      <c r="J92" s="56" t="n"/>
      <c r="K92" s="56" t="n"/>
    </row>
    <row r="93" ht="32" customHeight="1" s="33">
      <c r="A93" s="56" t="n">
        <v>81</v>
      </c>
      <c r="B93" s="44" t="inlineStr">
        <is>
          <t>MLOps業務</t>
        </is>
      </c>
      <c r="C93" s="44" t="inlineStr">
        <is>
          <t>Azure OpenAI運用管理</t>
        </is>
      </c>
      <c r="D93" s="41" t="inlineStr">
        <is>
          <t>利用量モニタリング（トークン数、APIコール数、コスト）</t>
        </is>
      </c>
      <c r="E93" s="56" t="n"/>
      <c r="F93" s="44" t="n"/>
      <c r="G93" s="44" t="n"/>
      <c r="H93" s="56" t="n"/>
      <c r="I93" s="56" t="n"/>
      <c r="J93" s="56" t="n"/>
      <c r="K93" s="56" t="n"/>
    </row>
    <row r="94" ht="32" customHeight="1" s="33">
      <c r="A94" s="56" t="n">
        <v>82</v>
      </c>
      <c r="B94" s="44" t="inlineStr">
        <is>
          <t>MLOps業務</t>
        </is>
      </c>
      <c r="C94" s="44" t="inlineStr">
        <is>
          <t>Azure OpenAI運用管理</t>
        </is>
      </c>
      <c r="D94" s="41" t="inlineStr">
        <is>
          <t>レート制限管理（部門別クォータ設定）</t>
        </is>
      </c>
      <c r="E94" s="56" t="n"/>
      <c r="F94" s="44" t="n"/>
      <c r="G94" s="44" t="n"/>
      <c r="H94" s="56" t="n"/>
      <c r="I94" s="56" t="n"/>
      <c r="J94" s="56" t="n"/>
      <c r="K94" s="56" t="n"/>
    </row>
    <row r="95" ht="32" customHeight="1" s="33">
      <c r="A95" s="56" t="n">
        <v>83</v>
      </c>
      <c r="B95" s="44" t="inlineStr">
        <is>
          <t>MLOps業務</t>
        </is>
      </c>
      <c r="C95" s="44" t="inlineStr">
        <is>
          <t>Azure OpenAI運用管理</t>
        </is>
      </c>
      <c r="D95" s="41" t="inlineStr">
        <is>
          <t>プロンプトテンプレートのバージョン管理</t>
        </is>
      </c>
      <c r="E95" s="56" t="n"/>
      <c r="F95" s="44" t="n"/>
      <c r="G95" s="44" t="n"/>
      <c r="H95" s="56" t="n"/>
      <c r="I95" s="56" t="n"/>
      <c r="J95" s="56" t="n"/>
      <c r="K95" s="56" t="n"/>
    </row>
    <row r="96" ht="32" customHeight="1" s="33">
      <c r="A96" s="56" t="n">
        <v>84</v>
      </c>
      <c r="B96" s="44" t="inlineStr">
        <is>
          <t>MLOps業務</t>
        </is>
      </c>
      <c r="C96" s="44" t="inlineStr">
        <is>
          <t>Azure OpenAI運用管理</t>
        </is>
      </c>
      <c r="D96" s="44" t="inlineStr">
        <is>
          <t>RAG用ベクトルDBのインデックス管理（pgvector）</t>
        </is>
      </c>
      <c r="E96" s="56" t="n"/>
      <c r="F96" s="44" t="n"/>
      <c r="G96" s="44" t="n"/>
      <c r="H96" s="56" t="n"/>
      <c r="I96" s="56" t="n"/>
      <c r="J96" s="56" t="n"/>
      <c r="K96" s="56" t="n"/>
    </row>
    <row r="97" ht="32" customHeight="1" s="33">
      <c r="A97" s="56" t="n">
        <v>85</v>
      </c>
      <c r="B97" s="44" t="inlineStr">
        <is>
          <t>MLOps業務</t>
        </is>
      </c>
      <c r="C97" s="44" t="inlineStr">
        <is>
          <t>Azure OpenAI運用管理</t>
        </is>
      </c>
      <c r="D97" s="41" t="inlineStr">
        <is>
          <t>プロンプトインジェクション対策（入力サニタイズ）</t>
        </is>
      </c>
      <c r="E97" s="56" t="n"/>
      <c r="F97" s="44" t="n"/>
      <c r="G97" s="44" t="n"/>
      <c r="H97" s="56" t="n"/>
      <c r="I97" s="56" t="n"/>
      <c r="J97" s="56" t="n"/>
      <c r="K97" s="56" t="n"/>
    </row>
    <row r="98" ht="32" customHeight="1" s="33">
      <c r="A98" s="56" t="n">
        <v>86</v>
      </c>
      <c r="B98" s="44" t="inlineStr">
        <is>
          <t>MLOps業務</t>
        </is>
      </c>
      <c r="C98" s="44" t="inlineStr">
        <is>
          <t>Azure OpenAI運用管理</t>
        </is>
      </c>
      <c r="D98" s="41" t="inlineStr">
        <is>
          <t>出力フィルタリング（個人情報、機密情報の漏洩防止）</t>
        </is>
      </c>
      <c r="E98" s="56" t="n"/>
      <c r="F98" s="44" t="n"/>
      <c r="G98" s="44" t="n"/>
      <c r="H98" s="56" t="n"/>
      <c r="I98" s="56" t="n"/>
      <c r="J98" s="56" t="n"/>
      <c r="K98" s="56" t="n"/>
    </row>
    <row r="99" ht="32" customHeight="1" s="33">
      <c r="A99" s="56" t="n">
        <v>87</v>
      </c>
      <c r="B99" s="44" t="inlineStr">
        <is>
          <t>MLOps業務</t>
        </is>
      </c>
      <c r="C99" s="44" t="inlineStr">
        <is>
          <t>Azure OpenAI運用管理</t>
        </is>
      </c>
      <c r="D99" s="41" t="inlineStr">
        <is>
          <t>利用ログの完全記録（監査対応）</t>
        </is>
      </c>
      <c r="E99" s="56" t="n"/>
      <c r="F99" s="44" t="n"/>
      <c r="G99" s="44" t="n"/>
      <c r="H99" s="56" t="n"/>
      <c r="I99" s="56" t="n"/>
      <c r="J99" s="56" t="n"/>
      <c r="K99" s="56" t="n"/>
    </row>
    <row r="100" ht="32" customHeight="1" s="33">
      <c r="A100" s="56" t="n">
        <v>88</v>
      </c>
      <c r="B100" s="44" t="inlineStr">
        <is>
          <t>MLOps業務</t>
        </is>
      </c>
      <c r="C100" s="44" t="inlineStr">
        <is>
          <t>Azure OpenAI運用管理</t>
        </is>
      </c>
      <c r="D100" s="41" t="inlineStr">
        <is>
          <t>社内データのみを参照するクローズド環境での運用</t>
        </is>
      </c>
      <c r="E100" s="56" t="n"/>
      <c r="F100" s="44" t="n"/>
      <c r="G100" s="44" t="n"/>
      <c r="H100" s="56" t="n"/>
      <c r="I100" s="56" t="n"/>
      <c r="J100" s="56" t="n"/>
      <c r="K100" s="56" t="n"/>
    </row>
    <row r="101" ht="32" customHeight="1" s="33">
      <c r="A101" s="53" t="inlineStr">
        <is>
          <t>■ デジタルツイン運用業務</t>
        </is>
      </c>
      <c r="B101" s="54" t="n"/>
      <c r="C101" s="54" t="n"/>
      <c r="D101" s="54" t="n"/>
      <c r="E101" s="55" t="n"/>
      <c r="F101" s="54" t="n"/>
      <c r="G101" s="54" t="n"/>
      <c r="H101" s="55" t="n"/>
      <c r="I101" s="55" t="n"/>
      <c r="J101" s="55" t="n"/>
      <c r="K101" s="55" t="n"/>
    </row>
    <row r="102" ht="32" customHeight="1" s="33">
      <c r="A102" s="56" t="n">
        <v>89</v>
      </c>
      <c r="B102" s="41" t="inlineStr">
        <is>
          <t>デジタルツイン運用業務</t>
        </is>
      </c>
      <c r="C102" s="44" t="inlineStr">
        <is>
          <t>3Dモデル管理</t>
        </is>
      </c>
      <c r="D102" s="44" t="inlineStr">
        <is>
          <t>Webビューア: IFC.js + Three.js によるブラウザベース3D表示</t>
        </is>
      </c>
      <c r="E102" s="56" t="n"/>
      <c r="F102" s="44" t="n"/>
      <c r="G102" s="44" t="n"/>
      <c r="H102" s="56" t="n"/>
      <c r="I102" s="56" t="n"/>
      <c r="J102" s="56" t="n"/>
      <c r="K102" s="56" t="n"/>
    </row>
    <row r="103" ht="16" customHeight="1" s="33">
      <c r="A103" s="56" t="n">
        <v>90</v>
      </c>
      <c r="B103" s="41" t="inlineStr">
        <is>
          <t>デジタルツイン運用業務</t>
        </is>
      </c>
      <c r="C103" s="44" t="inlineStr">
        <is>
          <t>3Dモデル管理</t>
        </is>
      </c>
      <c r="D103" s="41" t="inlineStr">
        <is>
          <t>地理空間統合: CesiumJS による地球規模の3Dマップ上への配置</t>
        </is>
      </c>
      <c r="E103" s="56" t="n"/>
      <c r="F103" s="44" t="n"/>
      <c r="G103" s="44" t="n"/>
      <c r="H103" s="56" t="n"/>
      <c r="I103" s="56" t="n"/>
      <c r="J103" s="56" t="n"/>
      <c r="K103" s="56" t="n"/>
    </row>
    <row r="104" ht="16" customHeight="1" s="33">
      <c r="A104" s="56" t="n">
        <v>91</v>
      </c>
      <c r="B104" s="41" t="inlineStr">
        <is>
          <t>デジタルツイン運用業務</t>
        </is>
      </c>
      <c r="C104" s="44" t="inlineStr">
        <is>
          <t>3Dモデル管理</t>
        </is>
      </c>
      <c r="D104" s="44" t="inlineStr">
        <is>
          <t>IoTオーバーレイ: センサーデータのリアルタイム3D重畳表示</t>
        </is>
      </c>
      <c r="E104" s="56" t="n"/>
      <c r="F104" s="44" t="n"/>
      <c r="G104" s="44" t="n"/>
      <c r="H104" s="56" t="n"/>
      <c r="I104" s="56" t="n"/>
      <c r="J104" s="56" t="n"/>
      <c r="K104" s="56" t="n"/>
    </row>
    <row r="105" ht="16" customHeight="1" s="33">
      <c r="A105" s="56" t="n">
        <v>92</v>
      </c>
      <c r="B105" s="41" t="inlineStr">
        <is>
          <t>デジタルツイン運用業務</t>
        </is>
      </c>
      <c r="C105" s="44" t="inlineStr">
        <is>
          <t>3Dモデル管理</t>
        </is>
      </c>
      <c r="D105" s="41" t="inlineStr">
        <is>
          <t>時系列再生: 施工進捗のタイムラプス表示（4Dシミュレーション）</t>
        </is>
      </c>
      <c r="E105" s="56" t="n"/>
      <c r="F105" s="44" t="n"/>
      <c r="G105" s="44" t="n"/>
      <c r="H105" s="56" t="n"/>
      <c r="I105" s="56" t="n"/>
      <c r="J105" s="56" t="n"/>
      <c r="K105" s="56" t="n"/>
    </row>
    <row r="106" ht="16" customHeight="1" s="33">
      <c r="A106" s="56" t="n">
        <v>93</v>
      </c>
      <c r="B106" s="41" t="inlineStr">
        <is>
          <t>デジタルツイン運用業務</t>
        </is>
      </c>
      <c r="C106" s="44" t="inlineStr">
        <is>
          <t>3Dモデル管理</t>
        </is>
      </c>
      <c r="D106" s="44" t="inlineStr">
        <is>
          <t>AR連携: モバイルデバイスでのAR表示（WebXR）</t>
        </is>
      </c>
      <c r="E106" s="56" t="n"/>
      <c r="F106" s="44" t="n"/>
      <c r="G106" s="44" t="n"/>
      <c r="H106" s="56" t="n"/>
      <c r="I106" s="56" t="n"/>
      <c r="J106" s="56" t="n"/>
      <c r="K106" s="56" t="n"/>
    </row>
    <row r="107" ht="16" customHeight="1" s="33">
      <c r="A107" s="56" t="n">
        <v>94</v>
      </c>
      <c r="B107" s="41" t="inlineStr">
        <is>
          <t>デジタルツイン運用業務</t>
        </is>
      </c>
      <c r="C107" s="44" t="inlineStr">
        <is>
          <t>3Dモデル管理</t>
        </is>
      </c>
      <c r="D107" s="41" t="inlineStr">
        <is>
          <t>オフライン対応: PWAによるモデルのローカルキャッシュ</t>
        </is>
      </c>
      <c r="E107" s="56" t="n"/>
      <c r="F107" s="44" t="n"/>
      <c r="G107" s="44" t="n"/>
      <c r="H107" s="56" t="n"/>
      <c r="I107" s="56" t="n"/>
      <c r="J107" s="56" t="n"/>
      <c r="K107" s="56" t="n"/>
    </row>
    <row r="108" ht="16" customHeight="1" s="33">
      <c r="A108" s="56" t="n">
        <v>95</v>
      </c>
      <c r="B108" s="41" t="inlineStr">
        <is>
          <t>デジタルツイン運用業務</t>
        </is>
      </c>
      <c r="C108" s="41" t="inlineStr">
        <is>
          <t>シミュレーション・予測</t>
        </is>
      </c>
      <c r="D108" s="41" t="inlineStr">
        <is>
          <t>施工シミュレーション: 工程計画に基づく4D施工シミュレーション</t>
        </is>
      </c>
      <c r="E108" s="56" t="n"/>
      <c r="F108" s="44" t="n"/>
      <c r="G108" s="44" t="n"/>
      <c r="H108" s="56" t="n"/>
      <c r="I108" s="56" t="n"/>
      <c r="J108" s="56" t="n"/>
      <c r="K108" s="56" t="n"/>
    </row>
    <row r="109" ht="16" customHeight="1" s="33">
      <c r="A109" s="56" t="n">
        <v>96</v>
      </c>
      <c r="B109" s="41" t="inlineStr">
        <is>
          <t>デジタルツイン運用業務</t>
        </is>
      </c>
      <c r="C109" s="41" t="inlineStr">
        <is>
          <t>シミュレーション・予測</t>
        </is>
      </c>
      <c r="D109" s="41" t="inlineStr">
        <is>
          <t>安全シミュレーション: 重機動線・作業員動線の干渉チェック</t>
        </is>
      </c>
      <c r="E109" s="56" t="n"/>
      <c r="F109" s="44" t="n"/>
      <c r="G109" s="44" t="n"/>
      <c r="H109" s="56" t="n"/>
      <c r="I109" s="56" t="n"/>
      <c r="J109" s="56" t="n"/>
      <c r="K109" s="56" t="n"/>
    </row>
    <row r="110" ht="16" customHeight="1" s="33">
      <c r="A110" s="56" t="n">
        <v>97</v>
      </c>
      <c r="B110" s="41" t="inlineStr">
        <is>
          <t>デジタルツイン運用業務</t>
        </is>
      </c>
      <c r="C110" s="41" t="inlineStr">
        <is>
          <t>シミュレーション・予測</t>
        </is>
      </c>
      <c r="D110" s="41" t="inlineStr">
        <is>
          <t>環境影響シミュレーション: 騒音・振動・粉塵の拡散予測</t>
        </is>
      </c>
      <c r="E110" s="56" t="n"/>
      <c r="F110" s="44" t="n"/>
      <c r="G110" s="44" t="n"/>
      <c r="H110" s="56" t="n"/>
      <c r="I110" s="56" t="n"/>
      <c r="J110" s="56" t="n"/>
      <c r="K110" s="56" t="n"/>
    </row>
    <row r="111" ht="16" customHeight="1" s="33">
      <c r="A111" s="56" t="n">
        <v>98</v>
      </c>
      <c r="B111" s="41" t="inlineStr">
        <is>
          <t>デジタルツイン運用業務</t>
        </is>
      </c>
      <c r="C111" s="41" t="inlineStr">
        <is>
          <t>シミュレーション・予測</t>
        </is>
      </c>
      <c r="D111" s="41" t="inlineStr">
        <is>
          <t>構造解析連携: FEMモデルとの連携による応力解析結果の3D表示</t>
        </is>
      </c>
      <c r="E111" s="56" t="n"/>
      <c r="F111" s="44" t="n"/>
      <c r="G111" s="44" t="n"/>
      <c r="H111" s="56" t="n"/>
      <c r="I111" s="56" t="n"/>
      <c r="J111" s="56" t="n"/>
      <c r="K111" s="56" t="n"/>
    </row>
    <row r="112" ht="16" customHeight="1" s="33">
      <c r="A112" s="56" t="n">
        <v>99</v>
      </c>
      <c r="B112" s="41" t="inlineStr">
        <is>
          <t>デジタルツイン運用業務</t>
        </is>
      </c>
      <c r="C112" s="41" t="inlineStr">
        <is>
          <t>シミュレーション・予測</t>
        </is>
      </c>
      <c r="D112" s="41" t="inlineStr">
        <is>
          <t>洪水・災害シミュレーション: 地形データ+気象データによるリスク可視化</t>
        </is>
      </c>
      <c r="E112" s="56" t="n"/>
      <c r="F112" s="44" t="n"/>
      <c r="G112" s="44" t="n"/>
      <c r="H112" s="56" t="n"/>
      <c r="I112" s="56" t="n"/>
      <c r="J112" s="56" t="n"/>
      <c r="K112" s="56" t="n"/>
    </row>
    <row r="113" ht="48" customHeight="1" s="33">
      <c r="A113" s="57" t="inlineStr">
        <is>
          <t>■ API Gateway管理業務</t>
        </is>
      </c>
      <c r="B113" s="54" t="n"/>
      <c r="C113" s="54" t="n"/>
      <c r="D113" s="54" t="n"/>
      <c r="E113" s="55" t="n"/>
      <c r="F113" s="54" t="n"/>
      <c r="G113" s="54" t="n"/>
      <c r="H113" s="55" t="n"/>
      <c r="I113" s="55" t="n"/>
      <c r="J113" s="55" t="n"/>
      <c r="K113" s="55" t="n"/>
    </row>
    <row r="114" ht="32" customHeight="1" s="33">
      <c r="A114" s="56" t="n">
        <v>100</v>
      </c>
      <c r="B114" s="44" t="inlineStr">
        <is>
          <t>API Gateway管理業務</t>
        </is>
      </c>
      <c r="C114" s="44" t="inlineStr">
        <is>
          <t>API管理要件</t>
        </is>
      </c>
      <c r="D114" s="41" t="inlineStr">
        <is>
          <t>認証・認可: OAuth 2.0 / JWT（Entra ID連携）</t>
        </is>
      </c>
      <c r="E114" s="56" t="n"/>
      <c r="F114" s="44" t="n"/>
      <c r="G114" s="44" t="n"/>
      <c r="H114" s="56" t="n"/>
      <c r="I114" s="56" t="n"/>
      <c r="J114" s="56" t="n"/>
      <c r="K114" s="56" t="n"/>
    </row>
    <row r="115" ht="32" customHeight="1" s="33">
      <c r="A115" s="56" t="n">
        <v>101</v>
      </c>
      <c r="B115" s="44" t="inlineStr">
        <is>
          <t>API Gateway管理業務</t>
        </is>
      </c>
      <c r="C115" s="44" t="inlineStr">
        <is>
          <t>API管理要件</t>
        </is>
      </c>
      <c r="D115" s="41" t="inlineStr">
        <is>
          <t>レート制限: 部門別・アプリケーション別のAPI呼び出し制限</t>
        </is>
      </c>
      <c r="E115" s="56" t="n"/>
      <c r="F115" s="44" t="n"/>
      <c r="G115" s="44" t="n"/>
      <c r="H115" s="56" t="n"/>
      <c r="I115" s="56" t="n"/>
      <c r="J115" s="56" t="n"/>
      <c r="K115" s="56" t="n"/>
    </row>
    <row r="116" ht="32" customHeight="1" s="33">
      <c r="A116" s="56" t="n">
        <v>102</v>
      </c>
      <c r="B116" s="44" t="inlineStr">
        <is>
          <t>API Gateway管理業務</t>
        </is>
      </c>
      <c r="C116" s="44" t="inlineStr">
        <is>
          <t>API管理要件</t>
        </is>
      </c>
      <c r="D116" s="44" t="inlineStr">
        <is>
          <t>APIバージョニング: URL パスベース（/api/v1/, /api/v2/）</t>
        </is>
      </c>
      <c r="E116" s="56" t="n"/>
      <c r="F116" s="44" t="n"/>
      <c r="G116" s="44" t="n"/>
      <c r="H116" s="56" t="n"/>
      <c r="I116" s="56" t="n"/>
      <c r="J116" s="56" t="n"/>
      <c r="K116" s="56" t="n"/>
    </row>
    <row r="117" ht="32" customHeight="1" s="33">
      <c r="A117" s="56" t="n">
        <v>103</v>
      </c>
      <c r="B117" s="44" t="inlineStr">
        <is>
          <t>API Gateway管理業務</t>
        </is>
      </c>
      <c r="C117" s="44" t="inlineStr">
        <is>
          <t>API管理要件</t>
        </is>
      </c>
      <c r="D117" s="44" t="inlineStr">
        <is>
          <t>APIドキュメント: OpenAPI 3.0仕様の自動生成・公開</t>
        </is>
      </c>
      <c r="E117" s="56" t="n"/>
      <c r="F117" s="44" t="n"/>
      <c r="G117" s="44" t="n"/>
      <c r="H117" s="56" t="n"/>
      <c r="I117" s="56" t="n"/>
      <c r="J117" s="56" t="n"/>
      <c r="K117" s="56" t="n"/>
    </row>
    <row r="118" ht="32" customHeight="1" s="33">
      <c r="A118" s="56" t="n">
        <v>104</v>
      </c>
      <c r="B118" s="44" t="inlineStr">
        <is>
          <t>API Gateway管理業務</t>
        </is>
      </c>
      <c r="C118" s="44" t="inlineStr">
        <is>
          <t>API管理要件</t>
        </is>
      </c>
      <c r="D118" s="41" t="inlineStr">
        <is>
          <t>ヘルスチェック: 各バックエンドサービスの死活監視</t>
        </is>
      </c>
      <c r="E118" s="56" t="n"/>
      <c r="F118" s="44" t="n"/>
      <c r="G118" s="44" t="n"/>
      <c r="H118" s="56" t="n"/>
      <c r="I118" s="56" t="n"/>
      <c r="J118" s="56" t="n"/>
      <c r="K118" s="56" t="n"/>
    </row>
    <row r="119" ht="32" customHeight="1" s="33">
      <c r="A119" s="56" t="n">
        <v>105</v>
      </c>
      <c r="B119" s="44" t="inlineStr">
        <is>
          <t>API Gateway管理業務</t>
        </is>
      </c>
      <c r="C119" s="44" t="inlineStr">
        <is>
          <t>API管理要件</t>
        </is>
      </c>
      <c r="D119" s="41" t="inlineStr">
        <is>
          <t>キャッシュ: 高頻度リクエストのレスポンスキャッシュ（Redis）</t>
        </is>
      </c>
      <c r="E119" s="56" t="n"/>
      <c r="F119" s="44" t="n"/>
      <c r="G119" s="44" t="n"/>
      <c r="H119" s="56" t="n"/>
      <c r="I119" s="56" t="n"/>
      <c r="J119" s="56" t="n"/>
      <c r="K119" s="56" t="n"/>
    </row>
    <row r="120" ht="32" customHeight="1" s="33">
      <c r="A120" s="56" t="n">
        <v>106</v>
      </c>
      <c r="B120" s="44" t="inlineStr">
        <is>
          <t>API Gateway管理業務</t>
        </is>
      </c>
      <c r="C120" s="44" t="inlineStr">
        <is>
          <t>API管理要件</t>
        </is>
      </c>
      <c r="D120" s="44" t="inlineStr">
        <is>
          <t>APIエンドポイント別の呼び出し回数・レイテンシ追跡</t>
        </is>
      </c>
      <c r="E120" s="56" t="n"/>
      <c r="F120" s="44" t="n"/>
      <c r="G120" s="44" t="n"/>
      <c r="H120" s="56" t="n"/>
      <c r="I120" s="56" t="n"/>
      <c r="J120" s="56" t="n"/>
      <c r="K120" s="56" t="n"/>
    </row>
    <row r="121" ht="32" customHeight="1" s="33">
      <c r="A121" s="56" t="n">
        <v>107</v>
      </c>
      <c r="B121" s="44" t="inlineStr">
        <is>
          <t>API Gateway管理業務</t>
        </is>
      </c>
      <c r="C121" s="44" t="inlineStr">
        <is>
          <t>API管理要件</t>
        </is>
      </c>
      <c r="D121" s="41" t="inlineStr">
        <is>
          <t>エラー率モニタリング（4xx/5xx）</t>
        </is>
      </c>
      <c r="E121" s="56" t="n"/>
      <c r="F121" s="44" t="n"/>
      <c r="G121" s="44" t="n"/>
      <c r="H121" s="56" t="n"/>
      <c r="I121" s="56" t="n"/>
      <c r="J121" s="56" t="n"/>
      <c r="K121" s="56" t="n"/>
    </row>
    <row r="122" ht="32" customHeight="1" s="33">
      <c r="A122" s="56" t="n">
        <v>108</v>
      </c>
      <c r="B122" s="44" t="inlineStr">
        <is>
          <t>API Gateway管理業務</t>
        </is>
      </c>
      <c r="C122" s="44" t="inlineStr">
        <is>
          <t>API管理要件</t>
        </is>
      </c>
      <c r="D122" s="41" t="inlineStr">
        <is>
          <t>利用者別のAPI消費量レポート</t>
        </is>
      </c>
      <c r="E122" s="56" t="n"/>
      <c r="F122" s="44" t="n"/>
      <c r="G122" s="44" t="n"/>
      <c r="H122" s="56" t="n"/>
      <c r="I122" s="56" t="n"/>
      <c r="J122" s="56" t="n"/>
      <c r="K122" s="56" t="n"/>
    </row>
    <row r="123" ht="32" customHeight="1" s="33">
      <c r="A123" s="56" t="n">
        <v>109</v>
      </c>
      <c r="B123" s="44" t="inlineStr">
        <is>
          <t>API Gateway管理業務</t>
        </is>
      </c>
      <c r="C123" s="44" t="inlineStr">
        <is>
          <t>API管理要件</t>
        </is>
      </c>
      <c r="D123" s="41" t="inlineStr">
        <is>
          <t>非推奨API（Deprecated）の利用状況追跡・移行促進</t>
        </is>
      </c>
      <c r="E123" s="56" t="n"/>
      <c r="F123" s="44" t="n"/>
      <c r="G123" s="44" t="n"/>
      <c r="H123" s="56" t="n"/>
      <c r="I123" s="56" t="n"/>
      <c r="J123" s="56" t="n"/>
      <c r="K123" s="56" t="n"/>
    </row>
    <row r="124" ht="48" customHeight="1" s="33">
      <c r="A124" s="53" t="inlineStr">
        <is>
          <t>■ データレイクストレージ運用業務</t>
        </is>
      </c>
      <c r="B124" s="54" t="n"/>
      <c r="C124" s="54" t="n"/>
      <c r="D124" s="54" t="n"/>
      <c r="E124" s="55" t="n"/>
      <c r="F124" s="54" t="n"/>
      <c r="G124" s="54" t="n"/>
      <c r="H124" s="55" t="n"/>
      <c r="I124" s="55" t="n"/>
      <c r="J124" s="55" t="n"/>
      <c r="K124" s="55" t="n"/>
    </row>
    <row r="125" ht="32" customHeight="1" s="33">
      <c r="A125" s="56" t="n">
        <v>110</v>
      </c>
      <c r="B125" s="41" t="inlineStr">
        <is>
          <t>データレイクストレージ運用業務</t>
        </is>
      </c>
      <c r="C125" s="41" t="inlineStr">
        <is>
          <t>ストレージ階層管理</t>
        </is>
      </c>
      <c r="D125" s="41" t="inlineStr">
        <is>
          <t>データ分類に基づく自動階層移行ルール</t>
        </is>
      </c>
      <c r="E125" s="56" t="n"/>
      <c r="F125" s="44" t="n"/>
      <c r="G125" s="44" t="n"/>
      <c r="H125" s="56" t="n"/>
      <c r="I125" s="56" t="n"/>
      <c r="J125" s="56" t="n"/>
      <c r="K125" s="56" t="n"/>
    </row>
    <row r="126" ht="32" customHeight="1" s="33">
      <c r="A126" s="56" t="n">
        <v>111</v>
      </c>
      <c r="B126" s="41" t="inlineStr">
        <is>
          <t>データレイクストレージ運用業務</t>
        </is>
      </c>
      <c r="C126" s="41" t="inlineStr">
        <is>
          <t>ストレージ階層管理</t>
        </is>
      </c>
      <c r="D126" s="41" t="inlineStr">
        <is>
          <t>アクセス頻度に基づく動的階層最適化</t>
        </is>
      </c>
      <c r="E126" s="56" t="n"/>
      <c r="F126" s="44" t="n"/>
      <c r="G126" s="44" t="n"/>
      <c r="H126" s="56" t="n"/>
      <c r="I126" s="56" t="n"/>
      <c r="J126" s="56" t="n"/>
      <c r="K126" s="56" t="n"/>
    </row>
    <row r="127" ht="32" customHeight="1" s="33">
      <c r="A127" s="56" t="n">
        <v>112</v>
      </c>
      <c r="B127" s="41" t="inlineStr">
        <is>
          <t>データレイクストレージ運用業務</t>
        </is>
      </c>
      <c r="C127" s="41" t="inlineStr">
        <is>
          <t>ストレージ階層管理</t>
        </is>
      </c>
      <c r="D127" s="41" t="inlineStr">
        <is>
          <t>保持期間超過データの自動アーカイブ/削除</t>
        </is>
      </c>
      <c r="E127" s="56" t="n"/>
      <c r="F127" s="44" t="n"/>
      <c r="G127" s="44" t="n"/>
      <c r="H127" s="56" t="n"/>
      <c r="I127" s="56" t="n"/>
      <c r="J127" s="56" t="n"/>
      <c r="K127" s="56" t="n"/>
    </row>
    <row r="128" ht="32" customHeight="1" s="33">
      <c r="A128" s="56" t="n">
        <v>113</v>
      </c>
      <c r="B128" s="41" t="inlineStr">
        <is>
          <t>データレイクストレージ運用業務</t>
        </is>
      </c>
      <c r="C128" s="41" t="inlineStr">
        <is>
          <t>ストレージ階層管理</t>
        </is>
      </c>
      <c r="D128" s="41" t="inlineStr">
        <is>
          <t>ストレージコスト月次レポート</t>
        </is>
      </c>
      <c r="E128" s="56" t="n"/>
      <c r="F128" s="44" t="n"/>
      <c r="G128" s="44" t="n"/>
      <c r="H128" s="56" t="n"/>
      <c r="I128" s="56" t="n"/>
      <c r="J128" s="56" t="n"/>
      <c r="K128" s="56" t="n"/>
    </row>
    <row r="129" ht="32" customHeight="1" s="33">
      <c r="A129" s="56" t="n">
        <v>114</v>
      </c>
      <c r="B129" s="41" t="inlineStr">
        <is>
          <t>データレイクストレージ運用業務</t>
        </is>
      </c>
      <c r="C129" s="41" t="inlineStr">
        <is>
          <t>バックアップ・災害復旧</t>
        </is>
      </c>
      <c r="D129" s="44" t="inlineStr">
        <is>
          <t>DR環境は別リージョン（Azure East Japan ⇔ West Japan）</t>
        </is>
      </c>
      <c r="E129" s="56" t="n"/>
      <c r="F129" s="44" t="n"/>
      <c r="G129" s="44" t="n"/>
      <c r="H129" s="56" t="n"/>
      <c r="I129" s="56" t="n"/>
      <c r="J129" s="56" t="n"/>
      <c r="K129" s="56" t="n"/>
    </row>
    <row r="130" ht="32" customHeight="1" s="33">
      <c r="A130" s="56" t="n">
        <v>115</v>
      </c>
      <c r="B130" s="41" t="inlineStr">
        <is>
          <t>データレイクストレージ運用業務</t>
        </is>
      </c>
      <c r="C130" s="41" t="inlineStr">
        <is>
          <t>バックアップ・災害復旧</t>
        </is>
      </c>
      <c r="D130" s="41" t="inlineStr">
        <is>
          <t>重要データ（PostgreSQL、Kafka）はリアルタイムレプリケーション</t>
        </is>
      </c>
      <c r="E130" s="56" t="n"/>
      <c r="F130" s="44" t="n"/>
      <c r="G130" s="44" t="n"/>
      <c r="H130" s="56" t="n"/>
      <c r="I130" s="56" t="n"/>
      <c r="J130" s="56" t="n"/>
      <c r="K130" s="56" t="n"/>
    </row>
    <row r="131" ht="32" customHeight="1" s="33">
      <c r="A131" s="56" t="n">
        <v>116</v>
      </c>
      <c r="B131" s="41" t="inlineStr">
        <is>
          <t>データレイクストレージ運用業務</t>
        </is>
      </c>
      <c r="C131" s="41" t="inlineStr">
        <is>
          <t>バックアップ・災害復旧</t>
        </is>
      </c>
      <c r="D131" s="41" t="inlineStr">
        <is>
          <t>年2回のDR訓練実施（フェイルオーバー・フェイルバック）</t>
        </is>
      </c>
      <c r="E131" s="56" t="n"/>
      <c r="F131" s="44" t="n"/>
      <c r="G131" s="44" t="n"/>
      <c r="H131" s="56" t="n"/>
      <c r="I131" s="56" t="n"/>
      <c r="J131" s="56" t="n"/>
      <c r="K131" s="56" t="n"/>
    </row>
    <row r="132" ht="32" customHeight="1" s="33">
      <c r="A132" s="56" t="n">
        <v>117</v>
      </c>
      <c r="B132" s="41" t="inlineStr">
        <is>
          <t>データレイクストレージ運用業務</t>
        </is>
      </c>
      <c r="C132" s="41" t="inlineStr">
        <is>
          <t>バックアップ・災害復旧</t>
        </is>
      </c>
      <c r="D132" s="44" t="inlineStr">
        <is>
          <t>RTOに基づく復旧優先順位の定義</t>
        </is>
      </c>
      <c r="E132" s="56" t="n"/>
      <c r="F132" s="44" t="n"/>
      <c r="G132" s="44" t="n"/>
      <c r="H132" s="56" t="n"/>
      <c r="I132" s="56" t="n"/>
      <c r="J132" s="56" t="n"/>
      <c r="K132" s="56" t="n"/>
    </row>
    <row r="133" ht="16" customHeight="1" s="33">
      <c r="A133" s="53" t="inlineStr">
        <is>
          <t>■ 非機能要件</t>
        </is>
      </c>
      <c r="B133" s="54" t="n"/>
      <c r="C133" s="54" t="n"/>
      <c r="D133" s="54" t="n"/>
      <c r="E133" s="55" t="n"/>
      <c r="F133" s="54" t="n"/>
      <c r="G133" s="54" t="n"/>
      <c r="H133" s="55" t="n"/>
      <c r="I133" s="55" t="n"/>
      <c r="J133" s="55" t="n"/>
      <c r="K133" s="55" t="n"/>
    </row>
    <row r="134" ht="16" customHeight="1" s="33">
      <c r="A134" s="56" t="n">
        <v>118</v>
      </c>
      <c r="B134" s="41" t="inlineStr">
        <is>
          <t>非機能要件</t>
        </is>
      </c>
      <c r="C134" s="41" t="inlineStr">
        <is>
          <t>セキュリティ要件</t>
        </is>
      </c>
      <c r="D134" s="41" t="inlineStr">
        <is>
          <t>保存データの暗号化（AES-256）</t>
        </is>
      </c>
      <c r="E134" s="56" t="n"/>
      <c r="F134" s="44" t="n"/>
      <c r="G134" s="44" t="n"/>
      <c r="H134" s="56" t="n"/>
      <c r="I134" s="56" t="n"/>
      <c r="J134" s="56" t="n"/>
      <c r="K134" s="56" t="n"/>
    </row>
    <row r="135" ht="16" customHeight="1" s="33">
      <c r="A135" s="56" t="n">
        <v>119</v>
      </c>
      <c r="B135" s="41" t="inlineStr">
        <is>
          <t>非機能要件</t>
        </is>
      </c>
      <c r="C135" s="41" t="inlineStr">
        <is>
          <t>セキュリティ要件</t>
        </is>
      </c>
      <c r="D135" s="41" t="inlineStr">
        <is>
          <t>通信の暗号化（TLS 1.3）</t>
        </is>
      </c>
      <c r="E135" s="56" t="n"/>
      <c r="F135" s="44" t="n"/>
      <c r="G135" s="44" t="n"/>
      <c r="H135" s="56" t="n"/>
      <c r="I135" s="56" t="n"/>
      <c r="J135" s="56" t="n"/>
      <c r="K135" s="56" t="n"/>
    </row>
    <row r="136" ht="16" customHeight="1" s="33">
      <c r="A136" s="56" t="n">
        <v>120</v>
      </c>
      <c r="B136" s="41" t="inlineStr">
        <is>
          <t>非機能要件</t>
        </is>
      </c>
      <c r="C136" s="41" t="inlineStr">
        <is>
          <t>セキュリティ要件</t>
        </is>
      </c>
      <c r="D136" s="41" t="inlineStr">
        <is>
          <t>アクセスログの3年間保持</t>
        </is>
      </c>
      <c r="E136" s="56" t="n"/>
      <c r="F136" s="44" t="n"/>
      <c r="G136" s="44" t="n"/>
      <c r="H136" s="56" t="n"/>
      <c r="I136" s="56" t="n"/>
      <c r="J136" s="56" t="n"/>
      <c r="K136" s="56" t="n"/>
    </row>
    <row r="137" ht="16" customHeight="1" s="33">
      <c r="A137" s="56" t="n">
        <v>121</v>
      </c>
      <c r="B137" s="41" t="inlineStr">
        <is>
          <t>非機能要件</t>
        </is>
      </c>
      <c r="C137" s="41" t="inlineStr">
        <is>
          <t>セキュリティ要件</t>
        </is>
      </c>
      <c r="D137" s="41" t="inlineStr">
        <is>
          <t>個人情報のマスキング・匿名化処理</t>
        </is>
      </c>
      <c r="E137" s="56" t="n"/>
      <c r="F137" s="44" t="n"/>
      <c r="G137" s="44" t="n"/>
      <c r="H137" s="56" t="n"/>
      <c r="I137" s="56" t="n"/>
      <c r="J137" s="56" t="n"/>
      <c r="K137" s="56" t="n"/>
    </row>
    <row r="138" ht="16" customHeight="1" s="33">
      <c r="A138" s="56" t="n">
        <v>122</v>
      </c>
      <c r="B138" s="41" t="inlineStr">
        <is>
          <t>非機能要件</t>
        </is>
      </c>
      <c r="C138" s="41" t="inlineStr">
        <is>
          <t>セキュリティ要件</t>
        </is>
      </c>
      <c r="D138" s="41" t="inlineStr">
        <is>
          <t>データ持ち出し制御（DLP）</t>
        </is>
      </c>
      <c r="E138" s="56" t="n"/>
      <c r="F138" s="44" t="n"/>
      <c r="G138" s="44" t="n"/>
      <c r="H138" s="56" t="n"/>
      <c r="I138" s="56" t="n"/>
      <c r="J138" s="56" t="n"/>
      <c r="K138" s="56" t="n"/>
    </row>
    <row r="139" ht="16" customHeight="1" s="33">
      <c r="A139" s="56" t="n">
        <v>123</v>
      </c>
      <c r="B139" s="41" t="inlineStr">
        <is>
          <t>非機能要件</t>
        </is>
      </c>
      <c r="C139" s="41" t="inlineStr">
        <is>
          <t>セキュリティ要件</t>
        </is>
      </c>
      <c r="D139" s="41" t="inlineStr">
        <is>
          <t>定期脆弱性診断（四半期）</t>
        </is>
      </c>
      <c r="E139" s="56" t="n"/>
      <c r="F139" s="44" t="n"/>
      <c r="G139" s="44" t="n"/>
      <c r="H139" s="56" t="n"/>
      <c r="I139" s="56" t="n"/>
      <c r="J139" s="56" t="n"/>
      <c r="K139" s="56" t="n"/>
    </row>
    <row r="140" ht="32" customHeight="1" s="33">
      <c r="A140" s="53" t="inlineStr">
        <is>
          <t>■ 導入ロードマップ</t>
        </is>
      </c>
      <c r="B140" s="54" t="n"/>
      <c r="C140" s="54" t="n"/>
      <c r="D140" s="54" t="n"/>
      <c r="E140" s="55" t="n"/>
      <c r="F140" s="54" t="n"/>
      <c r="G140" s="54" t="n"/>
      <c r="H140" s="55" t="n"/>
      <c r="I140" s="55" t="n"/>
      <c r="J140" s="55" t="n"/>
      <c r="K140" s="55" t="n"/>
    </row>
    <row r="141" ht="32" customHeight="1" s="33">
      <c r="A141" s="56" t="n">
        <v>124</v>
      </c>
      <c r="B141" s="41" t="inlineStr">
        <is>
          <t>導入ロードマップ</t>
        </is>
      </c>
      <c r="C141" s="44" t="inlineStr">
        <is>
          <t>### Phase 1（0-6ヶ月）: 基盤構築</t>
        </is>
      </c>
      <c r="D141" s="41" t="inlineStr">
        <is>
          <t>データレイク基盤構築（PostgreSQL + TimescaleDB + S3互換）</t>
        </is>
      </c>
      <c r="E141" s="56" t="n"/>
      <c r="F141" s="44" t="n"/>
      <c r="G141" s="44" t="n"/>
      <c r="H141" s="56" t="n"/>
      <c r="I141" s="56" t="n"/>
      <c r="J141" s="56" t="n"/>
      <c r="K141" s="56" t="n"/>
    </row>
    <row r="142" ht="32" customHeight="1" s="33">
      <c r="A142" s="56" t="n">
        <v>125</v>
      </c>
      <c r="B142" s="41" t="inlineStr">
        <is>
          <t>導入ロードマップ</t>
        </is>
      </c>
      <c r="C142" s="44" t="inlineStr">
        <is>
          <t>### Phase 1（0-6ヶ月）: 基盤構築</t>
        </is>
      </c>
      <c r="D142" s="44" t="inlineStr">
        <is>
          <t>ETLパイプライン基盤（Airflow + dbt）構築</t>
        </is>
      </c>
      <c r="E142" s="56" t="n"/>
      <c r="F142" s="44" t="n"/>
      <c r="G142" s="44" t="n"/>
      <c r="H142" s="56" t="n"/>
      <c r="I142" s="56" t="n"/>
      <c r="J142" s="56" t="n"/>
      <c r="K142" s="56" t="n"/>
    </row>
    <row r="143" ht="32" customHeight="1" s="33">
      <c r="A143" s="56" t="n">
        <v>126</v>
      </c>
      <c r="B143" s="41" t="inlineStr">
        <is>
          <t>導入ロードマップ</t>
        </is>
      </c>
      <c r="C143" s="44" t="inlineStr">
        <is>
          <t>### Phase 1（0-6ヶ月）: 基盤構築</t>
        </is>
      </c>
      <c r="D143" s="41" t="inlineStr">
        <is>
          <t>施工管理・安全品質・ITSMデータの統合</t>
        </is>
      </c>
      <c r="E143" s="56" t="n"/>
      <c r="F143" s="44" t="n"/>
      <c r="G143" s="44" t="n"/>
      <c r="H143" s="56" t="n"/>
      <c r="I143" s="56" t="n"/>
      <c r="J143" s="56" t="n"/>
      <c r="K143" s="56" t="n"/>
    </row>
    <row r="144" ht="32" customHeight="1" s="33">
      <c r="A144" s="56" t="n">
        <v>127</v>
      </c>
      <c r="B144" s="41" t="inlineStr">
        <is>
          <t>導入ロードマップ</t>
        </is>
      </c>
      <c r="C144" s="44" t="inlineStr">
        <is>
          <t>### Phase 1（0-6ヶ月）: 基盤構築</t>
        </is>
      </c>
      <c r="D144" s="41" t="inlineStr">
        <is>
          <t>全社共通マスタ管理の開始</t>
        </is>
      </c>
      <c r="E144" s="56" t="n"/>
      <c r="F144" s="44" t="n"/>
      <c r="G144" s="44" t="n"/>
      <c r="H144" s="56" t="n"/>
      <c r="I144" s="56" t="n"/>
      <c r="J144" s="56" t="n"/>
      <c r="K144" s="56" t="n"/>
    </row>
    <row r="145" ht="32" customHeight="1" s="33">
      <c r="A145" s="56" t="n">
        <v>128</v>
      </c>
      <c r="B145" s="41" t="inlineStr">
        <is>
          <t>導入ロードマップ</t>
        </is>
      </c>
      <c r="C145" s="44" t="inlineStr">
        <is>
          <t>### Phase 1（0-6ヶ月）: 基盤構築</t>
        </is>
      </c>
      <c r="D145" s="44" t="inlineStr">
        <is>
          <t>API Gateway基本機能の構築</t>
        </is>
      </c>
      <c r="E145" s="56" t="n"/>
      <c r="F145" s="44" t="n"/>
      <c r="G145" s="44" t="n"/>
      <c r="H145" s="56" t="n"/>
      <c r="I145" s="56" t="n"/>
      <c r="J145" s="56" t="n"/>
      <c r="K145" s="56" t="n"/>
    </row>
    <row r="146" ht="32" customHeight="1" s="33">
      <c r="A146" s="56" t="n">
        <v>129</v>
      </c>
      <c r="B146" s="41" t="inlineStr">
        <is>
          <t>導入ロードマップ</t>
        </is>
      </c>
      <c r="C146" s="44" t="inlineStr">
        <is>
          <t>### Phase 2（6-12ヶ月）: 分析基盤拡充</t>
        </is>
      </c>
      <c r="D146" s="44" t="inlineStr">
        <is>
          <t>BIダッシュボード基盤（Grafana + Metabase）構築</t>
        </is>
      </c>
      <c r="E146" s="56" t="n"/>
      <c r="F146" s="44" t="n"/>
      <c r="G146" s="44" t="n"/>
      <c r="H146" s="56" t="n"/>
      <c r="I146" s="56" t="n"/>
      <c r="J146" s="56" t="n"/>
      <c r="K146" s="56" t="n"/>
    </row>
    <row r="147" ht="32" customHeight="1" s="33">
      <c r="A147" s="56" t="n">
        <v>130</v>
      </c>
      <c r="B147" s="41" t="inlineStr">
        <is>
          <t>導入ロードマップ</t>
        </is>
      </c>
      <c r="C147" s="44" t="inlineStr">
        <is>
          <t>### Phase 2（6-12ヶ月）: 分析基盤拡充</t>
        </is>
      </c>
      <c r="D147" s="41" t="inlineStr">
        <is>
          <t>残部門データの統合（営業、購買、経理、人事）</t>
        </is>
      </c>
      <c r="E147" s="56" t="n"/>
      <c r="F147" s="44" t="n"/>
      <c r="G147" s="44" t="n"/>
      <c r="H147" s="56" t="n"/>
      <c r="I147" s="56" t="n"/>
      <c r="J147" s="56" t="n"/>
      <c r="K147" s="56" t="n"/>
    </row>
    <row r="148" ht="32" customHeight="1" s="33">
      <c r="A148" s="56" t="n">
        <v>131</v>
      </c>
      <c r="B148" s="41" t="inlineStr">
        <is>
          <t>導入ロードマップ</t>
        </is>
      </c>
      <c r="C148" s="44" t="inlineStr">
        <is>
          <t>### Phase 2（6-12ヶ月）: 分析基盤拡充</t>
        </is>
      </c>
      <c r="D148" s="41" t="inlineStr">
        <is>
          <t>データカタログの運用開始</t>
        </is>
      </c>
      <c r="E148" s="56" t="n"/>
      <c r="F148" s="44" t="n"/>
      <c r="G148" s="44" t="n"/>
      <c r="H148" s="56" t="n"/>
      <c r="I148" s="56" t="n"/>
      <c r="J148" s="56" t="n"/>
      <c r="K148" s="56" t="n"/>
    </row>
    <row r="149" ht="32" customHeight="1" s="33">
      <c r="A149" s="56" t="n">
        <v>132</v>
      </c>
      <c r="B149" s="41" t="inlineStr">
        <is>
          <t>導入ロードマップ</t>
        </is>
      </c>
      <c r="C149" s="44" t="inlineStr">
        <is>
          <t>### Phase 2（6-12ヶ月）: 分析基盤拡充</t>
        </is>
      </c>
      <c r="D149" s="44" t="inlineStr">
        <is>
          <t>MLOps基盤（MLflow）構築</t>
        </is>
      </c>
      <c r="E149" s="56" t="n"/>
      <c r="F149" s="44" t="n"/>
      <c r="G149" s="44" t="n"/>
      <c r="H149" s="56" t="n"/>
      <c r="I149" s="56" t="n"/>
      <c r="J149" s="56" t="n"/>
      <c r="K149" s="56" t="n"/>
    </row>
    <row r="150" ht="32" customHeight="1" s="33">
      <c r="A150" s="56" t="n">
        <v>133</v>
      </c>
      <c r="B150" s="41" t="inlineStr">
        <is>
          <t>導入ロードマップ</t>
        </is>
      </c>
      <c r="C150" s="44" t="inlineStr">
        <is>
          <t>### Phase 2（6-12ヶ月）: 分析基盤拡充</t>
        </is>
      </c>
      <c r="D150" s="44" t="inlineStr">
        <is>
          <t>Feature Store の構築・運用開始</t>
        </is>
      </c>
      <c r="E150" s="56" t="n"/>
      <c r="F150" s="44" t="n"/>
      <c r="G150" s="44" t="n"/>
      <c r="H150" s="56" t="n"/>
      <c r="I150" s="56" t="n"/>
      <c r="J150" s="56" t="n"/>
      <c r="K150" s="56" t="n"/>
    </row>
    <row r="151" ht="32" customHeight="1" s="33">
      <c r="A151" s="56" t="n">
        <v>134</v>
      </c>
      <c r="B151" s="41" t="inlineStr">
        <is>
          <t>導入ロードマップ</t>
        </is>
      </c>
      <c r="C151" s="44" t="inlineStr">
        <is>
          <t>### Phase 3（12-18ヶ月）: 高度化</t>
        </is>
      </c>
      <c r="D151" s="41" t="inlineStr">
        <is>
          <t>デジタルツイン基盤（CesiumJS）構築</t>
        </is>
      </c>
      <c r="E151" s="56" t="n"/>
      <c r="F151" s="44" t="n"/>
      <c r="G151" s="44" t="n"/>
      <c r="H151" s="56" t="n"/>
      <c r="I151" s="56" t="n"/>
      <c r="J151" s="56" t="n"/>
      <c r="K151" s="56" t="n"/>
    </row>
    <row r="152" ht="32" customHeight="1" s="33">
      <c r="A152" s="56" t="n">
        <v>135</v>
      </c>
      <c r="B152" s="41" t="inlineStr">
        <is>
          <t>導入ロードマップ</t>
        </is>
      </c>
      <c r="C152" s="44" t="inlineStr">
        <is>
          <t>### Phase 3（12-18ヶ月）: 高度化</t>
        </is>
      </c>
      <c r="D152" s="44" t="inlineStr">
        <is>
          <t>AI/MLモデルの本格運用（予測モデル群）</t>
        </is>
      </c>
      <c r="E152" s="56" t="n"/>
      <c r="F152" s="44" t="n"/>
      <c r="G152" s="44" t="n"/>
      <c r="H152" s="56" t="n"/>
      <c r="I152" s="56" t="n"/>
      <c r="J152" s="56" t="n"/>
      <c r="K152" s="56" t="n"/>
    </row>
    <row r="153" ht="32" customHeight="1" s="33">
      <c r="A153" s="56" t="n">
        <v>136</v>
      </c>
      <c r="B153" s="41" t="inlineStr">
        <is>
          <t>導入ロードマップ</t>
        </is>
      </c>
      <c r="C153" s="44" t="inlineStr">
        <is>
          <t>### Phase 3（12-18ヶ月）: 高度化</t>
        </is>
      </c>
      <c r="D153" s="41" t="inlineStr">
        <is>
          <t>リアルタイムストリーム処理の全面展開</t>
        </is>
      </c>
      <c r="E153" s="56" t="n"/>
      <c r="F153" s="44" t="n"/>
      <c r="G153" s="44" t="n"/>
      <c r="H153" s="56" t="n"/>
      <c r="I153" s="56" t="n"/>
      <c r="J153" s="56" t="n"/>
      <c r="K153" s="56" t="n"/>
    </row>
    <row r="154" ht="32" customHeight="1" s="33">
      <c r="A154" s="56" t="n">
        <v>137</v>
      </c>
      <c r="B154" s="41" t="inlineStr">
        <is>
          <t>導入ロードマップ</t>
        </is>
      </c>
      <c r="C154" s="44" t="inlineStr">
        <is>
          <t>### Phase 3（12-18ヶ月）: 高度化</t>
        </is>
      </c>
      <c r="D154" s="41" t="inlineStr">
        <is>
          <t>外部データ連携の拡充（CCUS、CORINS等）</t>
        </is>
      </c>
      <c r="E154" s="56" t="n"/>
      <c r="F154" s="44" t="n"/>
      <c r="G154" s="44" t="n"/>
      <c r="H154" s="56" t="n"/>
      <c r="I154" s="56" t="n"/>
      <c r="J154" s="56" t="n"/>
      <c r="K154" s="56" t="n"/>
    </row>
    <row r="155" ht="32" customHeight="1" s="33">
      <c r="A155" s="56" t="n">
        <v>138</v>
      </c>
      <c r="B155" s="41" t="inlineStr">
        <is>
          <t>導入ロードマップ</t>
        </is>
      </c>
      <c r="C155" s="44" t="inlineStr">
        <is>
          <t>### Phase 3（12-18ヶ月）: 高度化</t>
        </is>
      </c>
      <c r="D155" s="41" t="inlineStr">
        <is>
          <t>データガバナンス成熟度評価・改善</t>
        </is>
      </c>
      <c r="E155" s="56" t="n"/>
      <c r="F155" s="44" t="n"/>
      <c r="G155" s="44" t="n"/>
      <c r="H155" s="56" t="n"/>
      <c r="I155" s="56" t="n"/>
      <c r="J155" s="56" t="n"/>
      <c r="K155" s="56" t="n"/>
    </row>
    <row r="156" ht="32" customHeight="1" s="33">
      <c r="A156" s="53" t="inlineStr">
        <is>
          <t>■ 他部門システムとの連携要件</t>
        </is>
      </c>
      <c r="B156" s="54" t="n"/>
      <c r="C156" s="54" t="n"/>
      <c r="D156" s="54" t="n"/>
      <c r="E156" s="55" t="n"/>
      <c r="F156" s="54" t="n"/>
      <c r="G156" s="54" t="n"/>
      <c r="H156" s="55" t="n"/>
      <c r="I156" s="55" t="n"/>
      <c r="J156" s="55" t="n"/>
      <c r="K156" s="55" t="n"/>
    </row>
    <row r="157" ht="16" customHeight="1" s="33">
      <c r="A157" s="56" t="n">
        <v>139</v>
      </c>
      <c r="B157" s="41" t="inlineStr">
        <is>
          <t>他部門システムとの連携要件</t>
        </is>
      </c>
      <c r="C157" s="41" t="inlineStr">
        <is>
          <t>部門別連携仕様</t>
        </is>
      </c>
      <c r="D157" s="41" t="inlineStr">
        <is>
          <t>項目:文書ID | 内容:BIZ-CDL-001</t>
        </is>
      </c>
      <c r="E157" s="56" t="n"/>
      <c r="F157" s="44" t="n"/>
      <c r="G157" s="44" t="n"/>
      <c r="H157" s="56" t="n"/>
      <c r="I157" s="56" t="n"/>
      <c r="J157" s="56" t="n"/>
      <c r="K157" s="56" t="n"/>
    </row>
    <row r="158" ht="16" customHeight="1" s="33">
      <c r="A158" s="56" t="n">
        <v>140</v>
      </c>
      <c r="B158" s="41" t="inlineStr">
        <is>
          <t>他部門システムとの連携要件</t>
        </is>
      </c>
      <c r="C158" s="41" t="inlineStr">
        <is>
          <t>部門別連携仕様</t>
        </is>
      </c>
      <c r="D158" s="41" t="inlineStr">
        <is>
          <t>項目:版数 | 内容:1.0</t>
        </is>
      </c>
      <c r="E158" s="56" t="n"/>
      <c r="F158" s="44" t="n"/>
      <c r="G158" s="44" t="n"/>
      <c r="H158" s="56" t="n"/>
      <c r="I158" s="56" t="n"/>
      <c r="J158" s="56" t="n"/>
      <c r="K158" s="56" t="n"/>
    </row>
    <row r="159" ht="16" customHeight="1" s="33">
      <c r="A159" s="56" t="n">
        <v>141</v>
      </c>
      <c r="B159" s="41" t="inlineStr">
        <is>
          <t>他部門システムとの連携要件</t>
        </is>
      </c>
      <c r="C159" s="41" t="inlineStr">
        <is>
          <t>部門別連携仕様</t>
        </is>
      </c>
      <c r="D159" s="41" t="inlineStr">
        <is>
          <t>項目:作成日 | 内容:2026-05-16</t>
        </is>
      </c>
      <c r="E159" s="56" t="n"/>
      <c r="F159" s="44" t="n"/>
      <c r="G159" s="44" t="n"/>
      <c r="H159" s="56" t="n"/>
      <c r="I159" s="56" t="n"/>
      <c r="J159" s="56" t="n"/>
      <c r="K159" s="56" t="n"/>
    </row>
    <row r="160" ht="16" customHeight="1" s="33">
      <c r="A160" s="56" t="n">
        <v>142</v>
      </c>
      <c r="B160" s="41" t="inlineStr">
        <is>
          <t>他部門システムとの連携要件</t>
        </is>
      </c>
      <c r="C160" s="41" t="inlineStr">
        <is>
          <t>部門別連携仕様</t>
        </is>
      </c>
      <c r="D160" s="41" t="inlineStr">
        <is>
          <t>項目:部門 | 内容:統合データ基盤（横断組織）</t>
        </is>
      </c>
      <c r="E160" s="56" t="n"/>
      <c r="F160" s="44" t="n"/>
      <c r="G160" s="44" t="n"/>
      <c r="H160" s="56" t="n"/>
      <c r="I160" s="56" t="n"/>
      <c r="J160" s="56" t="n"/>
      <c r="K160" s="56" t="n"/>
    </row>
    <row r="161" ht="32" customHeight="1" s="33">
      <c r="A161" s="56" t="n">
        <v>143</v>
      </c>
      <c r="B161" s="41" t="inlineStr">
        <is>
          <t>他部門システムとの連携要件</t>
        </is>
      </c>
      <c r="C161" s="41" t="inlineStr">
        <is>
          <t>部門別連携仕様</t>
        </is>
      </c>
      <c r="D161" s="41" t="inlineStr">
        <is>
          <t>項目:システム名 | 内容:Construction DataLake &amp; Digital Twin Platform</t>
        </is>
      </c>
      <c r="E161" s="56" t="n"/>
      <c r="F161" s="44" t="n"/>
      <c r="G161" s="44" t="n"/>
      <c r="H161" s="56" t="n"/>
      <c r="I161" s="56" t="n"/>
      <c r="J161" s="56" t="n"/>
      <c r="K161" s="56" t="n"/>
    </row>
    <row r="162" ht="16" customHeight="1" s="33">
      <c r="A162" s="56" t="n">
        <v>144</v>
      </c>
      <c r="B162" s="41" t="inlineStr">
        <is>
          <t>他部門システムとの連携要件</t>
        </is>
      </c>
      <c r="C162" s="41" t="inlineStr">
        <is>
          <t>部門別連携仕様</t>
        </is>
      </c>
      <c r="D162" s="41" t="inlineStr">
        <is>
          <t>項目:対象 | 内容:全社データ統合・分析・デジタルツイン基盤</t>
        </is>
      </c>
      <c r="E162" s="56" t="n"/>
      <c r="F162" s="44" t="n"/>
      <c r="G162" s="44" t="n"/>
      <c r="H162" s="56" t="n"/>
      <c r="I162" s="56" t="n"/>
      <c r="J162" s="56" t="n"/>
      <c r="K162" s="56" t="n"/>
    </row>
    <row r="163" ht="32" customHeight="1" s="33">
      <c r="A163" s="56" t="n">
        <v>145</v>
      </c>
      <c r="B163" s="41" t="inlineStr">
        <is>
          <t>他部門システムとの連携要件</t>
        </is>
      </c>
      <c r="C163" s="41" t="inlineStr">
        <is>
          <t>部門別連携仕様</t>
        </is>
      </c>
      <c r="D163" s="41" t="inlineStr">
        <is>
          <t>ソースシステム:経営ダッシュボード | データ種別:KPI集計値、予算実績 | 取得方式:REST API | 頻度:日次</t>
        </is>
      </c>
      <c r="E163" s="56" t="n"/>
      <c r="F163" s="44" t="n"/>
      <c r="G163" s="44" t="n"/>
      <c r="H163" s="56" t="n"/>
      <c r="I163" s="56" t="n"/>
      <c r="J163" s="56" t="n"/>
      <c r="K163" s="56" t="n"/>
    </row>
    <row r="164" ht="48" customHeight="1" s="33">
      <c r="A164" s="56" t="n">
        <v>146</v>
      </c>
      <c r="B164" s="41" t="inlineStr">
        <is>
          <t>他部門システムとの連携要件</t>
        </is>
      </c>
      <c r="C164" s="41" t="inlineStr">
        <is>
          <t>部門別連携仕様</t>
        </is>
      </c>
      <c r="D164" s="41" t="inlineStr">
        <is>
          <t>ソースシステム:建設CRM | データ種別:案件情報、入札データ | 取得方式:CDC (Change Data Capture) | 頻度:リアルタイム</t>
        </is>
      </c>
      <c r="E164" s="56" t="n"/>
      <c r="F164" s="44" t="n"/>
      <c r="G164" s="44" t="n"/>
      <c r="H164" s="56" t="n"/>
      <c r="I164" s="56" t="n"/>
      <c r="J164" s="56" t="n"/>
      <c r="K164" s="56" t="n"/>
    </row>
    <row r="165" ht="48" customHeight="1" s="33">
      <c r="A165" s="56" t="n">
        <v>147</v>
      </c>
      <c r="B165" s="41" t="inlineStr">
        <is>
          <t>他部門システムとの連携要件</t>
        </is>
      </c>
      <c r="C165" s="41" t="inlineStr">
        <is>
          <t>部門別連携仕様</t>
        </is>
      </c>
      <c r="D165" s="41" t="inlineStr">
        <is>
          <t>ソースシステム:施工管理システム | データ種別:工程・原価・写真・IoTセンサー | 取得方式:Kafka Stream | 頻度:リアルタイム</t>
        </is>
      </c>
      <c r="E165" s="56" t="n"/>
      <c r="F165" s="44" t="n"/>
      <c r="G165" s="44" t="n"/>
      <c r="H165" s="56" t="n"/>
      <c r="I165" s="56" t="n"/>
      <c r="J165" s="56" t="n"/>
      <c r="K165" s="56" t="n"/>
    </row>
    <row r="166" ht="32" customHeight="1" s="33">
      <c r="A166" s="56" t="n">
        <v>148</v>
      </c>
      <c r="B166" s="41" t="inlineStr">
        <is>
          <t>他部門システムとの連携要件</t>
        </is>
      </c>
      <c r="C166" s="41" t="inlineStr">
        <is>
          <t>部門別連携仕様</t>
        </is>
      </c>
      <c r="D166" s="41" t="inlineStr">
        <is>
          <t>ソースシステム:安全品質ガバナンス | データ種別:ヒヤリハット、パトロール、NCR | 取得方式:REST API | 頻度:日次</t>
        </is>
      </c>
      <c r="E166" s="56" t="n"/>
      <c r="F166" s="44" t="n"/>
      <c r="G166" s="44" t="n"/>
      <c r="H166" s="56" t="n"/>
      <c r="I166" s="56" t="n"/>
      <c r="J166" s="56" t="n"/>
      <c r="K166" s="56" t="n"/>
    </row>
    <row r="167" ht="48" customHeight="1" s="33">
      <c r="A167" s="56" t="n">
        <v>149</v>
      </c>
      <c r="B167" s="41" t="inlineStr">
        <is>
          <t>他部門システムとの連携要件</t>
        </is>
      </c>
      <c r="C167" s="41" t="inlineStr">
        <is>
          <t>部門別連携仕様</t>
        </is>
      </c>
      <c r="D167" s="41" t="inlineStr">
        <is>
          <t>ソースシステム:技術ナレッジBIM基盤 | データ種別:技術文書、BIM/CIMモデル | 取得方式:ファイル連携（S3互換） | 頻度:イベント駆動</t>
        </is>
      </c>
      <c r="E167" s="56" t="n"/>
      <c r="F167" s="44" t="n"/>
      <c r="G167" s="44" t="n"/>
      <c r="H167" s="56" t="n"/>
      <c r="I167" s="56" t="n"/>
      <c r="J167" s="56" t="n"/>
      <c r="K167" s="56" t="n"/>
    </row>
    <row r="168" ht="32" customHeight="1" s="33">
      <c r="A168" s="56" t="n">
        <v>150</v>
      </c>
      <c r="B168" s="41" t="inlineStr">
        <is>
          <t>他部門システムとの連携要件</t>
        </is>
      </c>
      <c r="C168" s="41" t="inlineStr">
        <is>
          <t>部門別連携仕様</t>
        </is>
      </c>
      <c r="D168" s="41" t="inlineStr">
        <is>
          <t>ソースシステム:企業運営基盤 | データ種別:会計データ、人事データ、契約 | 取得方式:バッチETL（dbt） | 頻度:日次</t>
        </is>
      </c>
      <c r="E168" s="56" t="n"/>
      <c r="F168" s="44" t="n"/>
      <c r="G168" s="44" t="n"/>
      <c r="H168" s="56" t="n"/>
      <c r="I168" s="56" t="n"/>
      <c r="J168" s="56" t="n"/>
      <c r="K168" s="56" t="n"/>
    </row>
    <row r="169" ht="32" customHeight="1" s="33">
      <c r="A169" s="56" t="n">
        <v>151</v>
      </c>
      <c r="B169" s="41" t="inlineStr">
        <is>
          <t>他部門システムとの連携要件</t>
        </is>
      </c>
      <c r="C169" s="41" t="inlineStr">
        <is>
          <t>部門別連携仕様</t>
        </is>
      </c>
      <c r="D169" s="41" t="inlineStr">
        <is>
          <t>ソースシステム:調達資材管理 | データ種別:発注・在庫・単価データ | 取得方式:CDC | 頻度:リアルタイム</t>
        </is>
      </c>
      <c r="E169" s="56" t="n"/>
      <c r="F169" s="44" t="n"/>
      <c r="G169" s="44" t="n"/>
      <c r="H169" s="56" t="n"/>
      <c r="I169" s="56" t="n"/>
      <c r="J169" s="56" t="n"/>
      <c r="K169" s="56" t="n"/>
    </row>
    <row r="170" ht="32" customHeight="1" s="33">
      <c r="A170" s="56" t="n">
        <v>152</v>
      </c>
      <c r="B170" s="41" t="inlineStr">
        <is>
          <t>他部門システムとの連携要件</t>
        </is>
      </c>
      <c r="C170" s="41" t="inlineStr">
        <is>
          <t>部門別連携仕様</t>
        </is>
      </c>
      <c r="D170" s="41" t="inlineStr">
        <is>
          <t>ソースシステム:船舶運航管理 | データ種別:AIS/GPS位置情報、燃料データ | 取得方式:MQTT/Kafka | 頻度:リアルタイム</t>
        </is>
      </c>
      <c r="E170" s="56" t="n"/>
      <c r="F170" s="44" t="n"/>
      <c r="G170" s="44" t="n"/>
      <c r="H170" s="56" t="n"/>
      <c r="I170" s="56" t="n"/>
      <c r="J170" s="56" t="n"/>
      <c r="K170" s="56" t="n"/>
    </row>
    <row r="171" ht="48" customHeight="1" s="33">
      <c r="A171" s="56" t="n">
        <v>153</v>
      </c>
      <c r="B171" s="41" t="inlineStr">
        <is>
          <t>他部門システムとの連携要件</t>
        </is>
      </c>
      <c r="C171" s="41" t="inlineStr">
        <is>
          <t>部門別連携仕様</t>
        </is>
      </c>
      <c r="D171" s="41" t="inlineStr">
        <is>
          <t>ソースシステム:ITSM基盤 | データ種別:インシデント、CMDB、ログ | 取得方式:REST API / Syslog | 頻度:リアルタイム</t>
        </is>
      </c>
      <c r="E171" s="56" t="n"/>
      <c r="F171" s="44" t="n"/>
      <c r="G171" s="44" t="n"/>
      <c r="H171" s="56" t="n"/>
      <c r="I171" s="56" t="n"/>
      <c r="J171" s="56" t="n"/>
      <c r="K171" s="56" t="n"/>
    </row>
    <row r="172" ht="32" customHeight="1" s="33">
      <c r="A172" s="56" t="n">
        <v>154</v>
      </c>
      <c r="B172" s="41" t="inlineStr">
        <is>
          <t>他部門システムとの連携要件</t>
        </is>
      </c>
      <c r="C172" s="41" t="inlineStr">
        <is>
          <t>部門別連携仕様</t>
        </is>
      </c>
      <c r="D172" s="41" t="inlineStr">
        <is>
          <t>ソースシステム:DeskNet's NEO | データ種別:ワークフロー承認データ | 取得方式:REST API連携 | 頻度:イベント駆動</t>
        </is>
      </c>
      <c r="E172" s="56" t="n"/>
      <c r="F172" s="44" t="n"/>
      <c r="G172" s="44" t="n"/>
      <c r="H172" s="56" t="n"/>
      <c r="I172" s="56" t="n"/>
      <c r="J172" s="56" t="n"/>
      <c r="K172" s="56" t="n"/>
    </row>
    <row r="173" ht="32" customHeight="1" s="33">
      <c r="A173" s="56" t="n">
        <v>155</v>
      </c>
      <c r="B173" s="41" t="inlineStr">
        <is>
          <t>他部門システムとの連携要件</t>
        </is>
      </c>
      <c r="C173" s="41" t="inlineStr">
        <is>
          <t>部門別連携仕様</t>
        </is>
      </c>
      <c r="D173" s="41" t="inlineStr">
        <is>
          <t>ソースシステム:IoTセンサー | データ種別:温湿度、振動、粉塵、騒音 | 取得方式:MQTT → Kafka | 頻度:リアルタイム</t>
        </is>
      </c>
      <c r="E173" s="56" t="n"/>
      <c r="F173" s="44" t="n"/>
      <c r="G173" s="44" t="n"/>
      <c r="H173" s="56" t="n"/>
      <c r="I173" s="56" t="n"/>
      <c r="J173" s="56" t="n"/>
      <c r="K173" s="56" t="n"/>
    </row>
    <row r="174" ht="32" customHeight="1" s="33">
      <c r="A174" s="56" t="n">
        <v>156</v>
      </c>
      <c r="B174" s="41" t="inlineStr">
        <is>
          <t>他部門システムとの連携要件</t>
        </is>
      </c>
      <c r="C174" s="41" t="inlineStr">
        <is>
          <t>部門別連携仕様</t>
        </is>
      </c>
      <c r="D174" s="41" t="inlineStr">
        <is>
          <t>ソースシステム:外部データ | データ種別:気象、地図、CCUS、CORINS | 取得方式:REST API | 頻度:定期バッチ</t>
        </is>
      </c>
      <c r="E174" s="56" t="n"/>
      <c r="F174" s="44" t="n"/>
      <c r="G174" s="44" t="n"/>
      <c r="H174" s="56" t="n"/>
      <c r="I174" s="56" t="n"/>
      <c r="J174" s="56" t="n"/>
      <c r="K174" s="56" t="n"/>
    </row>
    <row r="175" ht="32" customHeight="1" s="33">
      <c r="A175" s="56" t="n">
        <v>157</v>
      </c>
      <c r="B175" s="41" t="inlineStr">
        <is>
          <t>他部門システムとの連携要件</t>
        </is>
      </c>
      <c r="C175" s="41" t="inlineStr">
        <is>
          <t>部門別連携仕様</t>
        </is>
      </c>
      <c r="D175" s="41" t="inlineStr">
        <is>
          <t>監視項目:DAG実行失敗 | 閾値:1回以上 | アラート先:Slack + メール即時通知</t>
        </is>
      </c>
      <c r="E175" s="56" t="n"/>
      <c r="F175" s="44" t="n"/>
      <c r="G175" s="44" t="n"/>
      <c r="H175" s="56" t="n"/>
      <c r="I175" s="56" t="n"/>
      <c r="J175" s="56" t="n"/>
      <c r="K175" s="56" t="n"/>
    </row>
    <row r="176" ht="32" customHeight="1" s="33">
      <c r="A176" s="56" t="n">
        <v>158</v>
      </c>
      <c r="B176" s="41" t="inlineStr">
        <is>
          <t>他部門システムとの連携要件</t>
        </is>
      </c>
      <c r="C176" s="41" t="inlineStr">
        <is>
          <t>部門別連携仕様</t>
        </is>
      </c>
      <c r="D176" s="41" t="inlineStr">
        <is>
          <t>監視項目:DAG遅延 | 閾値:SLA超過10分以上 | アラート先:Slack通知</t>
        </is>
      </c>
      <c r="E176" s="56" t="n"/>
      <c r="F176" s="44" t="n"/>
      <c r="G176" s="44" t="n"/>
      <c r="H176" s="56" t="n"/>
      <c r="I176" s="56" t="n"/>
      <c r="J176" s="56" t="n"/>
      <c r="K176" s="56" t="n"/>
    </row>
    <row r="177" ht="32" customHeight="1" s="33">
      <c r="A177" s="56" t="n">
        <v>159</v>
      </c>
      <c r="B177" s="41" t="inlineStr">
        <is>
          <t>他部門システムとの連携要件</t>
        </is>
      </c>
      <c r="C177" s="41" t="inlineStr">
        <is>
          <t>部門別連携仕様</t>
        </is>
      </c>
      <c r="D177" s="41" t="inlineStr">
        <is>
          <t>監視項目:データ品質テスト失敗 | 閾値:dbtテスト1件以上失敗 | アラート先:Slack + Jiraチケット自動起票</t>
        </is>
      </c>
      <c r="E177" s="56" t="n"/>
      <c r="F177" s="44" t="n"/>
      <c r="G177" s="44" t="n"/>
      <c r="H177" s="56" t="n"/>
      <c r="I177" s="56" t="n"/>
      <c r="J177" s="56" t="n"/>
      <c r="K177" s="56" t="n"/>
    </row>
    <row r="178" ht="32" customHeight="1" s="33">
      <c r="A178" s="56" t="n">
        <v>160</v>
      </c>
      <c r="B178" s="41" t="inlineStr">
        <is>
          <t>他部門システムとの連携要件</t>
        </is>
      </c>
      <c r="C178" s="41" t="inlineStr">
        <is>
          <t>部門別連携仕様</t>
        </is>
      </c>
      <c r="D178" s="41" t="inlineStr">
        <is>
          <t>監視項目:Kafkaコンシューマーラグ | 閾値:10,000メッセージ以上 | アラート先:Grafanaアラート</t>
        </is>
      </c>
      <c r="E178" s="56" t="n"/>
      <c r="F178" s="44" t="n"/>
      <c r="G178" s="44" t="n"/>
      <c r="H178" s="56" t="n"/>
      <c r="I178" s="56" t="n"/>
      <c r="J178" s="56" t="n"/>
      <c r="K178" s="56" t="n"/>
    </row>
    <row r="179" ht="32" customHeight="1" s="33">
      <c r="A179" s="56" t="n">
        <v>161</v>
      </c>
      <c r="B179" s="41" t="inlineStr">
        <is>
          <t>他部門システムとの連携要件</t>
        </is>
      </c>
      <c r="C179" s="41" t="inlineStr">
        <is>
          <t>部門別連携仕様</t>
        </is>
      </c>
      <c r="D179" s="41" t="inlineStr">
        <is>
          <t>監視項目:ストレージ使用量 | 閾値:80%以上 | アラート先:週次レポート + アラート</t>
        </is>
      </c>
      <c r="E179" s="56" t="n"/>
      <c r="F179" s="44" t="n"/>
      <c r="G179" s="44" t="n"/>
      <c r="H179" s="56" t="n"/>
      <c r="I179" s="56" t="n"/>
      <c r="J179" s="56" t="n"/>
      <c r="K179" s="56" t="n"/>
    </row>
    <row r="180" ht="32" customHeight="1" s="33">
      <c r="A180" s="56" t="n">
        <v>162</v>
      </c>
      <c r="B180" s="41" t="inlineStr">
        <is>
          <t>他部門システムとの連携要件</t>
        </is>
      </c>
      <c r="C180" s="41" t="inlineStr">
        <is>
          <t>部門別連携仕様</t>
        </is>
      </c>
      <c r="D180" s="41" t="inlineStr">
        <is>
          <t>監視項目:ETL処理時間 | 閾値:前回比200%以上 | アラート先:自動調査トリガー</t>
        </is>
      </c>
      <c r="E180" s="56" t="n"/>
      <c r="F180" s="44" t="n"/>
      <c r="G180" s="44" t="n"/>
      <c r="H180" s="56" t="n"/>
      <c r="I180" s="56" t="n"/>
      <c r="J180" s="56" t="n"/>
      <c r="K180" s="56" t="n"/>
    </row>
    <row r="181" ht="48" customHeight="1" s="33">
      <c r="A181" s="56" t="n">
        <v>163</v>
      </c>
      <c r="B181" s="41" t="inlineStr">
        <is>
          <t>他部門システムとの連携要件</t>
        </is>
      </c>
      <c r="C181" s="41" t="inlineStr">
        <is>
          <t>部門別連携仕様</t>
        </is>
      </c>
      <c r="D181" s="41" t="inlineStr">
        <is>
          <t>品質次元:完全性（Completeness） | チェック内容:必須フィールドのNULL率 | 自動化方式:dbt test + Great Expectations</t>
        </is>
      </c>
      <c r="E181" s="56" t="n"/>
      <c r="F181" s="44" t="n"/>
      <c r="G181" s="44" t="n"/>
      <c r="H181" s="56" t="n"/>
      <c r="I181" s="56" t="n"/>
      <c r="J181" s="56" t="n"/>
      <c r="K181" s="56" t="n"/>
    </row>
    <row r="182" ht="32" customHeight="1" s="33">
      <c r="A182" s="56" t="n">
        <v>164</v>
      </c>
      <c r="B182" s="41" t="inlineStr">
        <is>
          <t>他部門システムとの連携要件</t>
        </is>
      </c>
      <c r="C182" s="41" t="inlineStr">
        <is>
          <t>部門別連携仕様</t>
        </is>
      </c>
      <c r="D182" s="41" t="inlineStr">
        <is>
          <t>品質次元:一意性（Uniqueness） | チェック内容:主キー重複チェック | 自動化方式:dbt unique test</t>
        </is>
      </c>
      <c r="E182" s="56" t="n"/>
      <c r="F182" s="44" t="n"/>
      <c r="G182" s="44" t="n"/>
      <c r="H182" s="56" t="n"/>
      <c r="I182" s="56" t="n"/>
      <c r="J182" s="56" t="n"/>
      <c r="K182" s="56" t="n"/>
    </row>
    <row r="183" ht="48" customHeight="1" s="33">
      <c r="A183" s="56" t="n">
        <v>165</v>
      </c>
      <c r="B183" s="41" t="inlineStr">
        <is>
          <t>他部門システムとの連携要件</t>
        </is>
      </c>
      <c r="C183" s="41" t="inlineStr">
        <is>
          <t>部門別連携仕様</t>
        </is>
      </c>
      <c r="D183" s="41" t="inlineStr">
        <is>
          <t>品質次元:正確性（Accuracy） | チェック内容:値域チェック、フォーマット検証 | 自動化方式:Great Expectations Suite</t>
        </is>
      </c>
      <c r="E183" s="56" t="n"/>
      <c r="F183" s="44" t="n"/>
      <c r="G183" s="44" t="n"/>
      <c r="H183" s="56" t="n"/>
      <c r="I183" s="56" t="n"/>
      <c r="J183" s="56" t="n"/>
      <c r="K183" s="56" t="n"/>
    </row>
    <row r="184" ht="48" customHeight="1" s="33">
      <c r="A184" s="56" t="n">
        <v>166</v>
      </c>
      <c r="B184" s="41" t="inlineStr">
        <is>
          <t>他部門システムとの連携要件</t>
        </is>
      </c>
      <c r="C184" s="41" t="inlineStr">
        <is>
          <t>部門別連携仕様</t>
        </is>
      </c>
      <c r="D184" s="41" t="inlineStr">
        <is>
          <t>品質次元:一貫性（Consistency） | チェック内容:テーブル間整合性、外部キー参照 | 自動化方式:dbt relationships test</t>
        </is>
      </c>
      <c r="E184" s="56" t="n"/>
      <c r="F184" s="44" t="n"/>
      <c r="G184" s="44" t="n"/>
      <c r="H184" s="56" t="n"/>
      <c r="I184" s="56" t="n"/>
      <c r="J184" s="56" t="n"/>
      <c r="K184" s="56" t="n"/>
    </row>
    <row r="185" ht="32" customHeight="1" s="33">
      <c r="A185" s="56" t="n">
        <v>167</v>
      </c>
      <c r="B185" s="41" t="inlineStr">
        <is>
          <t>他部門システムとの連携要件</t>
        </is>
      </c>
      <c r="C185" s="41" t="inlineStr">
        <is>
          <t>部門別連携仕様</t>
        </is>
      </c>
      <c r="D185" s="41" t="inlineStr">
        <is>
          <t>品質次元:適時性（Timeliness） | チェック内容:データ鮮度（最終更新からの経過時間） | 自動化方式:カスタムSQLチェック</t>
        </is>
      </c>
      <c r="E185" s="56" t="n"/>
      <c r="F185" s="44" t="n"/>
      <c r="G185" s="44" t="n"/>
      <c r="H185" s="56" t="n"/>
      <c r="I185" s="56" t="n"/>
      <c r="J185" s="56" t="n"/>
      <c r="K185" s="56" t="n"/>
    </row>
    <row r="186" ht="32" customHeight="1" s="33">
      <c r="A186" s="56" t="n">
        <v>168</v>
      </c>
      <c r="B186" s="41" t="inlineStr">
        <is>
          <t>他部門システムとの連携要件</t>
        </is>
      </c>
      <c r="C186" s="41" t="inlineStr">
        <is>
          <t>部門別連携仕様</t>
        </is>
      </c>
      <c r="D186" s="41" t="inlineStr">
        <is>
          <t>品質次元:妥当性（Validity） | チェック内容:ビジネスルール適合性 | 自動化方式:カスタムバリデーション</t>
        </is>
      </c>
      <c r="E186" s="56" t="n"/>
      <c r="F186" s="44" t="n"/>
      <c r="G186" s="44" t="n"/>
      <c r="H186" s="56" t="n"/>
      <c r="I186" s="56" t="n"/>
      <c r="J186" s="56" t="n"/>
      <c r="K186" s="56" t="n"/>
    </row>
    <row r="187" ht="32" customHeight="1" s="33">
      <c r="A187" s="56" t="n">
        <v>169</v>
      </c>
      <c r="B187" s="41" t="inlineStr">
        <is>
          <t>他部門システムとの連携要件</t>
        </is>
      </c>
      <c r="C187" s="41" t="inlineStr">
        <is>
          <t>部門別連携仕様</t>
        </is>
      </c>
      <c r="D187" s="41" t="inlineStr">
        <is>
          <t>レベル:公開（Public） | 対象データ:気象データ、公共工事情報 | アクセス権限:全社員参照可</t>
        </is>
      </c>
      <c r="E187" s="56" t="n"/>
      <c r="F187" s="44" t="n"/>
      <c r="G187" s="44" t="n"/>
      <c r="H187" s="56" t="n"/>
      <c r="I187" s="56" t="n"/>
      <c r="J187" s="56" t="n"/>
      <c r="K187" s="56" t="n"/>
    </row>
    <row r="188" ht="32" customHeight="1" s="33">
      <c r="A188" s="56" t="n">
        <v>170</v>
      </c>
      <c r="B188" s="41" t="inlineStr">
        <is>
          <t>他部門システムとの連携要件</t>
        </is>
      </c>
      <c r="C188" s="41" t="inlineStr">
        <is>
          <t>部門別連携仕様</t>
        </is>
      </c>
      <c r="D188" s="41" t="inlineStr">
        <is>
          <t>レベル:社内限定（Internal） | 対象データ:工程データ、技術文書 | アクセス権限:社員のみ参照可</t>
        </is>
      </c>
      <c r="E188" s="56" t="n"/>
      <c r="F188" s="44" t="n"/>
      <c r="G188" s="44" t="n"/>
      <c r="H188" s="56" t="n"/>
      <c r="I188" s="56" t="n"/>
      <c r="J188" s="56" t="n"/>
      <c r="K188" s="56" t="n"/>
    </row>
    <row r="189" ht="32" customHeight="1" s="33">
      <c r="A189" s="56" t="n">
        <v>171</v>
      </c>
      <c r="B189" s="41" t="inlineStr">
        <is>
          <t>他部門システムとの連携要件</t>
        </is>
      </c>
      <c r="C189" s="41" t="inlineStr">
        <is>
          <t>部門別連携仕様</t>
        </is>
      </c>
      <c r="D189" s="41" t="inlineStr">
        <is>
          <t>レベル:部門限定（Confidential） | 対象データ:原価データ、人事データ | アクセス権限:所属部門のみ</t>
        </is>
      </c>
      <c r="E189" s="56" t="n"/>
      <c r="F189" s="44" t="n"/>
      <c r="G189" s="44" t="n"/>
      <c r="H189" s="56" t="n"/>
      <c r="I189" s="56" t="n"/>
      <c r="J189" s="56" t="n"/>
      <c r="K189" s="56" t="n"/>
    </row>
    <row r="190" ht="32" customHeight="1" s="33">
      <c r="A190" s="56" t="n">
        <v>172</v>
      </c>
      <c r="B190" s="41" t="inlineStr">
        <is>
          <t>他部門システムとの連携要件</t>
        </is>
      </c>
      <c r="C190" s="41" t="inlineStr">
        <is>
          <t>部門別連携仕様</t>
        </is>
      </c>
      <c r="D190" s="41" t="inlineStr">
        <is>
          <t>レベル:機密（Restricted） | 対象データ:経営戦略、入札価格 | アクセス権限:特定権限者のみ</t>
        </is>
      </c>
      <c r="E190" s="56" t="n"/>
      <c r="F190" s="44" t="n"/>
      <c r="G190" s="44" t="n"/>
      <c r="H190" s="56" t="n"/>
      <c r="I190" s="56" t="n"/>
      <c r="J190" s="56" t="n"/>
      <c r="K190" s="56" t="n"/>
    </row>
    <row r="191" ht="32" customHeight="1" s="33">
      <c r="A191" s="56" t="n">
        <v>173</v>
      </c>
      <c r="B191" s="41" t="inlineStr">
        <is>
          <t>他部門システムとの連携要件</t>
        </is>
      </c>
      <c r="C191" s="41" t="inlineStr">
        <is>
          <t>部門別連携仕様</t>
        </is>
      </c>
      <c r="D191" s="41" t="inlineStr">
        <is>
          <t>データ分類:会計データ | 保持期間:10年 | 廃棄方式:論理削除後物理削除 | 根拠法令:電子帳簿保存法</t>
        </is>
      </c>
      <c r="E191" s="56" t="n"/>
      <c r="F191" s="44" t="n"/>
      <c r="G191" s="44" t="n"/>
      <c r="H191" s="56" t="n"/>
      <c r="I191" s="56" t="n"/>
      <c r="J191" s="56" t="n"/>
      <c r="K191" s="56" t="n"/>
    </row>
    <row r="192" ht="32" customHeight="1" s="33">
      <c r="A192" s="56" t="n">
        <v>174</v>
      </c>
      <c r="B192" s="41" t="inlineStr">
        <is>
          <t>他部門システムとの連携要件</t>
        </is>
      </c>
      <c r="C192" s="41" t="inlineStr">
        <is>
          <t>部門別連携仕様</t>
        </is>
      </c>
      <c r="D192" s="41" t="inlineStr">
        <is>
          <t>データ分類:契約データ | 保持期間:10年 | 廃棄方式:論理削除後物理削除 | 根拠法令:建設業法</t>
        </is>
      </c>
      <c r="E192" s="56" t="n"/>
      <c r="F192" s="44" t="n"/>
      <c r="G192" s="44" t="n"/>
      <c r="H192" s="56" t="n"/>
      <c r="I192" s="56" t="n"/>
      <c r="J192" s="56" t="n"/>
      <c r="K192" s="56" t="n"/>
    </row>
    <row r="193" ht="32" customHeight="1" s="33">
      <c r="A193" s="56" t="n">
        <v>175</v>
      </c>
      <c r="B193" s="41" t="inlineStr">
        <is>
          <t>他部門システムとの連携要件</t>
        </is>
      </c>
      <c r="C193" s="41" t="inlineStr">
        <is>
          <t>部門別連携仕様</t>
        </is>
      </c>
      <c r="D193" s="41" t="inlineStr">
        <is>
          <t>データ分類:施工記録 | 保持期間:永年 | 廃棄方式:アーカイブ（Cold Storage） | 根拠法令:品確法</t>
        </is>
      </c>
      <c r="E193" s="56" t="n"/>
      <c r="F193" s="44" t="n"/>
      <c r="G193" s="44" t="n"/>
      <c r="H193" s="56" t="n"/>
      <c r="I193" s="56" t="n"/>
      <c r="J193" s="56" t="n"/>
      <c r="K193" s="56" t="n"/>
    </row>
    <row r="194" ht="32" customHeight="1" s="33">
      <c r="A194" s="56" t="n">
        <v>176</v>
      </c>
      <c r="B194" s="41" t="inlineStr">
        <is>
          <t>他部門システムとの連携要件</t>
        </is>
      </c>
      <c r="C194" s="41" t="inlineStr">
        <is>
          <t>部門別連携仕様</t>
        </is>
      </c>
      <c r="D194" s="41" t="inlineStr">
        <is>
          <t>データ分類:安全記録 | 保持期間:5年 | 廃棄方式:論理削除後物理削除 | 根拠法令:労働安全衛生法</t>
        </is>
      </c>
      <c r="E194" s="56" t="n"/>
      <c r="F194" s="44" t="n"/>
      <c r="G194" s="44" t="n"/>
      <c r="H194" s="56" t="n"/>
      <c r="I194" s="56" t="n"/>
      <c r="J194" s="56" t="n"/>
      <c r="K194" s="56" t="n"/>
    </row>
    <row r="195" ht="32" customHeight="1" s="33">
      <c r="A195" s="56" t="n">
        <v>177</v>
      </c>
      <c r="B195" s="41" t="inlineStr">
        <is>
          <t>他部門システムとの連携要件</t>
        </is>
      </c>
      <c r="C195" s="41" t="inlineStr">
        <is>
          <t>部門別連携仕様</t>
        </is>
      </c>
      <c r="D195" s="41" t="inlineStr">
        <is>
          <t>データ分類:人事データ | 保持期間:退職後5年 | 廃棄方式:完全削除（暗号鍵破棄） | 根拠法令:個人情報保護法</t>
        </is>
      </c>
      <c r="E195" s="56" t="n"/>
      <c r="F195" s="44" t="n"/>
      <c r="G195" s="44" t="n"/>
      <c r="H195" s="56" t="n"/>
      <c r="I195" s="56" t="n"/>
      <c r="J195" s="56" t="n"/>
      <c r="K195" s="56" t="n"/>
    </row>
    <row r="196" ht="32" customHeight="1" s="33">
      <c r="A196" s="56" t="n">
        <v>178</v>
      </c>
      <c r="B196" s="41" t="inlineStr">
        <is>
          <t>他部門システムとの連携要件</t>
        </is>
      </c>
      <c r="C196" s="41" t="inlineStr">
        <is>
          <t>部門別連携仕様</t>
        </is>
      </c>
      <c r="D196" s="41" t="inlineStr">
        <is>
          <t>データ分類:IoTセンサー（Raw） | 保持期間:1年 | 廃棄方式:自動削除（TTL） | 根拠法令:社内規定</t>
        </is>
      </c>
      <c r="E196" s="56" t="n"/>
      <c r="F196" s="44" t="n"/>
      <c r="G196" s="44" t="n"/>
      <c r="H196" s="56" t="n"/>
      <c r="I196" s="56" t="n"/>
      <c r="J196" s="56" t="n"/>
      <c r="K196" s="56" t="n"/>
    </row>
    <row r="197" ht="32" customHeight="1" s="33">
      <c r="A197" s="56" t="n">
        <v>179</v>
      </c>
      <c r="B197" s="41" t="inlineStr">
        <is>
          <t>他部門システムとの連携要件</t>
        </is>
      </c>
      <c r="C197" s="41" t="inlineStr">
        <is>
          <t>部門別連携仕様</t>
        </is>
      </c>
      <c r="D197" s="41" t="inlineStr">
        <is>
          <t>データ分類:IoTセンサー（集計済） | 保持期間:5年 | 廃棄方式:Cold Storageへ移行 | 根拠法令:社内規定</t>
        </is>
      </c>
      <c r="E197" s="56" t="n"/>
      <c r="F197" s="44" t="n"/>
      <c r="G197" s="44" t="n"/>
      <c r="H197" s="56" t="n"/>
      <c r="I197" s="56" t="n"/>
      <c r="J197" s="56" t="n"/>
      <c r="K197" s="56" t="n"/>
    </row>
    <row r="198" ht="32" customHeight="1" s="33">
      <c r="A198" s="56" t="n">
        <v>180</v>
      </c>
      <c r="B198" s="41" t="inlineStr">
        <is>
          <t>他部門システムとの連携要件</t>
        </is>
      </c>
      <c r="C198" s="41" t="inlineStr">
        <is>
          <t>部門別連携仕様</t>
        </is>
      </c>
      <c r="D198" s="41" t="inlineStr">
        <is>
          <t>データ分類:BIM/CIMモデル | 保持期間:永年 | 廃棄方式:Glacier互換ストレージ | 根拠法令:i-Construction要件</t>
        </is>
      </c>
      <c r="E198" s="56" t="n"/>
      <c r="F198" s="44" t="n"/>
      <c r="G198" s="44" t="n"/>
      <c r="H198" s="56" t="n"/>
      <c r="I198" s="56" t="n"/>
      <c r="J198" s="56" t="n"/>
      <c r="K198" s="56" t="n"/>
    </row>
    <row r="199" ht="32" customHeight="1" s="33">
      <c r="A199" s="56" t="n">
        <v>181</v>
      </c>
      <c r="B199" s="41" t="inlineStr">
        <is>
          <t>他部門システムとの連携要件</t>
        </is>
      </c>
      <c r="C199" s="41" t="inlineStr">
        <is>
          <t>部門別連携仕様</t>
        </is>
      </c>
      <c r="D199" s="41" t="inlineStr">
        <is>
          <t>マスタ名:社員マスタ | 管理部門:人事部 | レコード規模:約500件 | 更新頻度:日次</t>
        </is>
      </c>
      <c r="E199" s="56" t="n"/>
      <c r="F199" s="44" t="n"/>
      <c r="G199" s="44" t="n"/>
      <c r="H199" s="56" t="n"/>
      <c r="I199" s="56" t="n"/>
      <c r="J199" s="56" t="n"/>
      <c r="K199" s="56" t="n"/>
    </row>
    <row r="200" ht="32" customHeight="1" s="33">
      <c r="A200" s="56" t="n">
        <v>182</v>
      </c>
      <c r="B200" s="41" t="inlineStr">
        <is>
          <t>他部門システムとの連携要件</t>
        </is>
      </c>
      <c r="C200" s="41" t="inlineStr">
        <is>
          <t>部門別連携仕様</t>
        </is>
      </c>
      <c r="D200" s="41" t="inlineStr">
        <is>
          <t>マスタ名:組織マスタ | 管理部門:総務部 | レコード規模:約50件 | 更新頻度:月次</t>
        </is>
      </c>
      <c r="E200" s="56" t="n"/>
      <c r="F200" s="44" t="n"/>
      <c r="G200" s="44" t="n"/>
      <c r="H200" s="56" t="n"/>
      <c r="I200" s="56" t="n"/>
      <c r="J200" s="56" t="n"/>
      <c r="K200" s="56" t="n"/>
    </row>
    <row r="201" ht="32" customHeight="1" s="33">
      <c r="A201" s="56" t="n">
        <v>183</v>
      </c>
      <c r="B201" s="41" t="inlineStr">
        <is>
          <t>他部門システムとの連携要件</t>
        </is>
      </c>
      <c r="C201" s="41" t="inlineStr">
        <is>
          <t>部門別連携仕様</t>
        </is>
      </c>
      <c r="D201" s="41" t="inlineStr">
        <is>
          <t>マスタ名:工事マスタ | 管理部門:施工本部 | レコード規模:約200件/年 | 更新頻度:随時</t>
        </is>
      </c>
      <c r="E201" s="56" t="n"/>
      <c r="F201" s="44" t="n"/>
      <c r="G201" s="44" t="n"/>
      <c r="H201" s="56" t="n"/>
      <c r="I201" s="56" t="n"/>
      <c r="J201" s="56" t="n"/>
      <c r="K201" s="56" t="n"/>
    </row>
    <row r="202" ht="32" customHeight="1" s="33">
      <c r="A202" s="56" t="n">
        <v>184</v>
      </c>
      <c r="B202" s="41" t="inlineStr">
        <is>
          <t>他部門システムとの連携要件</t>
        </is>
      </c>
      <c r="C202" s="41" t="inlineStr">
        <is>
          <t>部門別連携仕様</t>
        </is>
      </c>
      <c r="D202" s="41" t="inlineStr">
        <is>
          <t>マスタ名:顧客マスタ | 管理部門:営業本部 | レコード規模:約3,000件 | 更新頻度:随時</t>
        </is>
      </c>
      <c r="E202" s="56" t="n"/>
      <c r="F202" s="44" t="n"/>
      <c r="G202" s="44" t="n"/>
      <c r="H202" s="56" t="n"/>
      <c r="I202" s="56" t="n"/>
      <c r="J202" s="56" t="n"/>
      <c r="K202" s="56" t="n"/>
    </row>
    <row r="203" ht="32" customHeight="1" s="33">
      <c r="A203" s="56" t="n">
        <v>185</v>
      </c>
      <c r="B203" s="41" t="inlineStr">
        <is>
          <t>他部門システムとの連携要件</t>
        </is>
      </c>
      <c r="C203" s="41" t="inlineStr">
        <is>
          <t>部門別連携仕様</t>
        </is>
      </c>
      <c r="D203" s="41" t="inlineStr">
        <is>
          <t>マスタ名:協力会社マスタ | 管理部門:購買部 | レコード規模:約500件 | 更新頻度:随時</t>
        </is>
      </c>
      <c r="E203" s="56" t="n"/>
      <c r="F203" s="44" t="n"/>
      <c r="G203" s="44" t="n"/>
      <c r="H203" s="56" t="n"/>
      <c r="I203" s="56" t="n"/>
      <c r="J203" s="56" t="n"/>
      <c r="K203" s="56" t="n"/>
    </row>
    <row r="204" ht="32" customHeight="1" s="33">
      <c r="A204" s="56" t="n">
        <v>186</v>
      </c>
      <c r="B204" s="41" t="inlineStr">
        <is>
          <t>他部門システムとの連携要件</t>
        </is>
      </c>
      <c r="C204" s="41" t="inlineStr">
        <is>
          <t>部門別連携仕様</t>
        </is>
      </c>
      <c r="D204" s="41" t="inlineStr">
        <is>
          <t>マスタ名:資材マスタ | 管理部門:購買部 | レコード規模:約10,000件 | 更新頻度:随時</t>
        </is>
      </c>
      <c r="E204" s="56" t="n"/>
      <c r="F204" s="44" t="n"/>
      <c r="G204" s="44" t="n"/>
      <c r="H204" s="56" t="n"/>
      <c r="I204" s="56" t="n"/>
      <c r="J204" s="56" t="n"/>
      <c r="K204" s="56" t="n"/>
    </row>
    <row r="205" ht="32" customHeight="1" s="33">
      <c r="A205" s="56" t="n">
        <v>187</v>
      </c>
      <c r="B205" s="41" t="inlineStr">
        <is>
          <t>他部門システムとの連携要件</t>
        </is>
      </c>
      <c r="C205" s="41" t="inlineStr">
        <is>
          <t>部門別連携仕様</t>
        </is>
      </c>
      <c r="D205" s="41" t="inlineStr">
        <is>
          <t>マスタ名:勘定科目マスタ | 管理部門:経理部 | レコード規模:約300件 | 更新頻度:年次</t>
        </is>
      </c>
      <c r="E205" s="56" t="n"/>
      <c r="F205" s="44" t="n"/>
      <c r="G205" s="44" t="n"/>
      <c r="H205" s="56" t="n"/>
      <c r="I205" s="56" t="n"/>
      <c r="J205" s="56" t="n"/>
      <c r="K205" s="56" t="n"/>
    </row>
    <row r="206" ht="32" customHeight="1" s="33">
      <c r="A206" s="56" t="n">
        <v>188</v>
      </c>
      <c r="B206" s="41" t="inlineStr">
        <is>
          <t>他部門システムとの連携要件</t>
        </is>
      </c>
      <c r="C206" s="41" t="inlineStr">
        <is>
          <t>部門別連携仕様</t>
        </is>
      </c>
      <c r="D206" s="41" t="inlineStr">
        <is>
          <t>マスタ名:船舶マスタ | 管理部門:船舶事業部 | レコード規模:約30件 | 更新頻度:随時</t>
        </is>
      </c>
      <c r="E206" s="56" t="n"/>
      <c r="F206" s="44" t="n"/>
      <c r="G206" s="44" t="n"/>
      <c r="H206" s="56" t="n"/>
      <c r="I206" s="56" t="n"/>
      <c r="J206" s="56" t="n"/>
      <c r="K206" s="56" t="n"/>
    </row>
    <row r="207" ht="32" customHeight="1" s="33">
      <c r="A207" s="56" t="n">
        <v>189</v>
      </c>
      <c r="B207" s="41" t="inlineStr">
        <is>
          <t>他部門システムとの連携要件</t>
        </is>
      </c>
      <c r="C207" s="41" t="inlineStr">
        <is>
          <t>部門別連携仕様</t>
        </is>
      </c>
      <c r="D207" s="41" t="inlineStr">
        <is>
          <t>マスタ名:拠点マスタ | 管理部門:総務部 | レコード規模:約20件 | 更新頻度:年次</t>
        </is>
      </c>
      <c r="E207" s="56" t="n"/>
      <c r="F207" s="44" t="n"/>
      <c r="G207" s="44" t="n"/>
      <c r="H207" s="56" t="n"/>
      <c r="I207" s="56" t="n"/>
      <c r="J207" s="56" t="n"/>
      <c r="K207" s="56" t="n"/>
    </row>
    <row r="208" ht="32" customHeight="1" s="33">
      <c r="A208" s="56" t="n">
        <v>190</v>
      </c>
      <c r="B208" s="41" t="inlineStr">
        <is>
          <t>他部門システムとの連携要件</t>
        </is>
      </c>
      <c r="C208" s="41" t="inlineStr">
        <is>
          <t>部門別連携仕様</t>
        </is>
      </c>
      <c r="D208" s="41" t="inlineStr">
        <is>
          <t>マスタ名:資格マスタ | 管理部門:人事部 | レコード規模:約200件 | 更新頻度:年次</t>
        </is>
      </c>
      <c r="E208" s="56" t="n"/>
      <c r="F208" s="44" t="n"/>
      <c r="G208" s="44" t="n"/>
      <c r="H208" s="56" t="n"/>
      <c r="I208" s="56" t="n"/>
      <c r="J208" s="56" t="n"/>
      <c r="K208" s="56" t="n"/>
    </row>
    <row r="209" ht="32" customHeight="1" s="33">
      <c r="A209" s="56" t="n">
        <v>191</v>
      </c>
      <c r="B209" s="41" t="inlineStr">
        <is>
          <t>他部門システムとの連携要件</t>
        </is>
      </c>
      <c r="C209" s="41" t="inlineStr">
        <is>
          <t>部門別連携仕様</t>
        </is>
      </c>
      <c r="D209" s="41" t="inlineStr">
        <is>
          <t>データマート名:経営KPIマート | 利用部門:経営企画部 | 主要KPI:売上、利益率、受注残 | 更新頻度:日次</t>
        </is>
      </c>
      <c r="E209" s="56" t="n"/>
      <c r="F209" s="44" t="n"/>
      <c r="G209" s="44" t="n"/>
      <c r="H209" s="56" t="n"/>
      <c r="I209" s="56" t="n"/>
      <c r="J209" s="56" t="n"/>
      <c r="K209" s="56" t="n"/>
    </row>
    <row r="210" ht="32" customHeight="1" s="33">
      <c r="A210" s="56" t="n">
        <v>192</v>
      </c>
      <c r="B210" s="41" t="inlineStr">
        <is>
          <t>他部門システムとの連携要件</t>
        </is>
      </c>
      <c r="C210" s="41" t="inlineStr">
        <is>
          <t>部門別連携仕様</t>
        </is>
      </c>
      <c r="D210" s="41" t="inlineStr">
        <is>
          <t>データマート名:施工原価マート | 利用部門:施工本部・経理部 | 主要KPI:工事別原価、出来高 | 更新頻度:日次</t>
        </is>
      </c>
      <c r="E210" s="56" t="n"/>
      <c r="F210" s="44" t="n"/>
      <c r="G210" s="44" t="n"/>
      <c r="H210" s="56" t="n"/>
      <c r="I210" s="56" t="n"/>
      <c r="J210" s="56" t="n"/>
      <c r="K210" s="56" t="n"/>
    </row>
    <row r="211" ht="32" customHeight="1" s="33">
      <c r="A211" s="56" t="n">
        <v>193</v>
      </c>
      <c r="B211" s="41" t="inlineStr">
        <is>
          <t>他部門システムとの連携要件</t>
        </is>
      </c>
      <c r="C211" s="41" t="inlineStr">
        <is>
          <t>部門別連携仕様</t>
        </is>
      </c>
      <c r="D211" s="41" t="inlineStr">
        <is>
          <t>データマート名:安全品質マート | 利用部門:安全品質環境本部 | 主要KPI:災害件数、品質不適合率 | 更新頻度:日次</t>
        </is>
      </c>
      <c r="E211" s="56" t="n"/>
      <c r="F211" s="44" t="n"/>
      <c r="G211" s="44" t="n"/>
      <c r="H211" s="56" t="n"/>
      <c r="I211" s="56" t="n"/>
      <c r="J211" s="56" t="n"/>
      <c r="K211" s="56" t="n"/>
    </row>
    <row r="212" ht="32" customHeight="1" s="33">
      <c r="A212" s="56" t="n">
        <v>194</v>
      </c>
      <c r="B212" s="41" t="inlineStr">
        <is>
          <t>他部門システムとの連携要件</t>
        </is>
      </c>
      <c r="C212" s="41" t="inlineStr">
        <is>
          <t>部門別連携仕様</t>
        </is>
      </c>
      <c r="D212" s="41" t="inlineStr">
        <is>
          <t>データマート名:営業パイプラインマート | 利用部門:営業本部 | 主要KPI:案件数、受注確度、受注金額 | 更新頻度:リアルタイム</t>
        </is>
      </c>
      <c r="E212" s="56" t="n"/>
      <c r="F212" s="44" t="n"/>
      <c r="G212" s="44" t="n"/>
      <c r="H212" s="56" t="n"/>
      <c r="I212" s="56" t="n"/>
      <c r="J212" s="56" t="n"/>
      <c r="K212" s="56" t="n"/>
    </row>
    <row r="213" ht="32" customHeight="1" s="33">
      <c r="A213" s="56" t="n">
        <v>195</v>
      </c>
      <c r="B213" s="41" t="inlineStr">
        <is>
          <t>他部門システムとの連携要件</t>
        </is>
      </c>
      <c r="C213" s="41" t="inlineStr">
        <is>
          <t>部門別連携仕様</t>
        </is>
      </c>
      <c r="D213" s="41" t="inlineStr">
        <is>
          <t>データマート名:人材配置マート | 利用部門:人事部・施工本部 | 主要KPI:稼働率、資格保有者配置 | 更新頻度:日次</t>
        </is>
      </c>
      <c r="E213" s="56" t="n"/>
      <c r="F213" s="44" t="n"/>
      <c r="G213" s="44" t="n"/>
      <c r="H213" s="56" t="n"/>
      <c r="I213" s="56" t="n"/>
      <c r="J213" s="56" t="n"/>
      <c r="K213" s="56" t="n"/>
    </row>
    <row r="214" ht="32" customHeight="1" s="33">
      <c r="A214" s="56" t="n">
        <v>196</v>
      </c>
      <c r="B214" s="41" t="inlineStr">
        <is>
          <t>他部門システムとの連携要件</t>
        </is>
      </c>
      <c r="C214" s="41" t="inlineStr">
        <is>
          <t>部門別連携仕様</t>
        </is>
      </c>
      <c r="D214" s="41" t="inlineStr">
        <is>
          <t>データマート名:調達分析マート | 利用部門:購買部 | 主要KPI:発注金額、単価推移、在庫回転率 | 更新頻度:日次</t>
        </is>
      </c>
      <c r="E214" s="56" t="n"/>
      <c r="F214" s="44" t="n"/>
      <c r="G214" s="44" t="n"/>
      <c r="H214" s="56" t="n"/>
      <c r="I214" s="56" t="n"/>
      <c r="J214" s="56" t="n"/>
      <c r="K214" s="56" t="n"/>
    </row>
    <row r="215" ht="32" customHeight="1" s="33">
      <c r="A215" s="56" t="n">
        <v>197</v>
      </c>
      <c r="B215" s="41" t="inlineStr">
        <is>
          <t>他部門システムとの連携要件</t>
        </is>
      </c>
      <c r="C215" s="41" t="inlineStr">
        <is>
          <t>部門別連携仕様</t>
        </is>
      </c>
      <c r="D215" s="41" t="inlineStr">
        <is>
          <t>データマート名:船舶運航マート | 利用部門:船舶事業部 | 主要KPI:稼働率、燃費、航行距離 | 更新頻度:リアルタイム</t>
        </is>
      </c>
      <c r="E215" s="56" t="n"/>
      <c r="F215" s="44" t="n"/>
      <c r="G215" s="44" t="n"/>
      <c r="H215" s="56" t="n"/>
      <c r="I215" s="56" t="n"/>
      <c r="J215" s="56" t="n"/>
      <c r="K215" s="56" t="n"/>
    </row>
    <row r="216" ht="32" customHeight="1" s="33">
      <c r="A216" s="56" t="n">
        <v>198</v>
      </c>
      <c r="B216" s="41" t="inlineStr">
        <is>
          <t>他部門システムとの連携要件</t>
        </is>
      </c>
      <c r="C216" s="41" t="inlineStr">
        <is>
          <t>部門別連携仕様</t>
        </is>
      </c>
      <c r="D216" s="41" t="inlineStr">
        <is>
          <t>データマート名:ESG/SDGsマート | 利用部門:経営企画部 | 主要KPI:CO2排出量、廃棄物量、女性比率 | 更新頻度:月次</t>
        </is>
      </c>
      <c r="E216" s="56" t="n"/>
      <c r="F216" s="44" t="n"/>
      <c r="G216" s="44" t="n"/>
      <c r="H216" s="56" t="n"/>
      <c r="I216" s="56" t="n"/>
      <c r="J216" s="56" t="n"/>
      <c r="K216" s="56" t="n"/>
    </row>
    <row r="217" ht="32" customHeight="1" s="33">
      <c r="A217" s="56" t="n">
        <v>199</v>
      </c>
      <c r="B217" s="41" t="inlineStr">
        <is>
          <t>他部門システムとの連携要件</t>
        </is>
      </c>
      <c r="C217" s="41" t="inlineStr">
        <is>
          <t>部門別連携仕様</t>
        </is>
      </c>
      <c r="D217" s="41" t="inlineStr">
        <is>
          <t>モデル名:工事利益予測モデル | 利用部門:経営企画部 | モデル種別:XGBoost/LightGBM | 推論方式:バッチ推論（日次）</t>
        </is>
      </c>
      <c r="E217" s="56" t="n"/>
      <c r="F217" s="44" t="n"/>
      <c r="G217" s="44" t="n"/>
      <c r="H217" s="56" t="n"/>
      <c r="I217" s="56" t="n"/>
      <c r="J217" s="56" t="n"/>
      <c r="K217" s="56" t="n"/>
    </row>
    <row r="218" ht="32" customHeight="1" s="33">
      <c r="A218" s="56" t="n">
        <v>200</v>
      </c>
      <c r="B218" s="41" t="inlineStr">
        <is>
          <t>他部門システムとの連携要件</t>
        </is>
      </c>
      <c r="C218" s="41" t="inlineStr">
        <is>
          <t>部門別連携仕様</t>
        </is>
      </c>
      <c r="D218" s="41" t="inlineStr">
        <is>
          <t>モデル名:受注確度予測モデル | 利用部門:営業本部 | モデル種別:ロジスティック回帰/RF | 推論方式:リアルタイム推論</t>
        </is>
      </c>
      <c r="E218" s="56" t="n"/>
      <c r="F218" s="44" t="n"/>
      <c r="G218" s="44" t="n"/>
      <c r="H218" s="56" t="n"/>
      <c r="I218" s="56" t="n"/>
      <c r="J218" s="56" t="n"/>
      <c r="K218" s="56" t="n"/>
    </row>
    <row r="219" ht="32" customHeight="1" s="33">
      <c r="A219" s="56" t="n">
        <v>201</v>
      </c>
      <c r="B219" s="41" t="inlineStr">
        <is>
          <t>他部門システムとの連携要件</t>
        </is>
      </c>
      <c r="C219" s="41" t="inlineStr">
        <is>
          <t>部門別連携仕様</t>
        </is>
      </c>
      <c r="D219" s="41" t="inlineStr">
        <is>
          <t>モデル名:安全危険度予測モデル | 利用部門:安全品質環境本部 | モデル種別:ニューラルネット | 推論方式:リアルタイム推論</t>
        </is>
      </c>
      <c r="E219" s="56" t="n"/>
      <c r="F219" s="44" t="n"/>
      <c r="G219" s="44" t="n"/>
      <c r="H219" s="56" t="n"/>
      <c r="I219" s="56" t="n"/>
      <c r="J219" s="56" t="n"/>
      <c r="K219" s="56" t="n"/>
    </row>
    <row r="220" ht="32" customHeight="1" s="33">
      <c r="A220" s="56" t="n">
        <v>202</v>
      </c>
      <c r="B220" s="41" t="inlineStr">
        <is>
          <t>他部門システムとの連携要件</t>
        </is>
      </c>
      <c r="C220" s="41" t="inlineStr">
        <is>
          <t>部門別連携仕様</t>
        </is>
      </c>
      <c r="D220" s="41" t="inlineStr">
        <is>
          <t>モデル名:映像解析（不安全行動検知） | 利用部門:安全品質環境本部 | モデル種別:YOLOv8 | 推論方式:エッジ推論</t>
        </is>
      </c>
      <c r="E220" s="56" t="n"/>
      <c r="F220" s="44" t="n"/>
      <c r="G220" s="44" t="n"/>
      <c r="H220" s="56" t="n"/>
      <c r="I220" s="56" t="n"/>
      <c r="J220" s="56" t="n"/>
      <c r="K220" s="56" t="n"/>
    </row>
    <row r="221" ht="32" customHeight="1" s="33">
      <c r="A221" s="56" t="n">
        <v>203</v>
      </c>
      <c r="B221" s="41" t="inlineStr">
        <is>
          <t>他部門システムとの連携要件</t>
        </is>
      </c>
      <c r="C221" s="41" t="inlineStr">
        <is>
          <t>部門別連携仕様</t>
        </is>
      </c>
      <c r="D221" s="41" t="inlineStr">
        <is>
          <t>モデル名:AI資材価格予測 | 利用部門:購買部 | モデル種別:時系列モデル（Prophet） | 推論方式:バッチ推論（週次）</t>
        </is>
      </c>
      <c r="E221" s="56" t="n"/>
      <c r="F221" s="44" t="n"/>
      <c r="G221" s="44" t="n"/>
      <c r="H221" s="56" t="n"/>
      <c r="I221" s="56" t="n"/>
      <c r="J221" s="56" t="n"/>
      <c r="K221" s="56" t="n"/>
    </row>
    <row r="222" ht="48" customHeight="1" s="33">
      <c r="A222" s="56" t="n">
        <v>204</v>
      </c>
      <c r="B222" s="41" t="inlineStr">
        <is>
          <t>他部門システムとの連携要件</t>
        </is>
      </c>
      <c r="C222" s="41" t="inlineStr">
        <is>
          <t>部門別連携仕様</t>
        </is>
      </c>
      <c r="D222" s="41" t="inlineStr">
        <is>
          <t>モデル名:技術文書RAG | 利用部門:技術本部 | モデル種別:Azure OpenAI + Embedding | 推論方式:リアルタイム推論</t>
        </is>
      </c>
      <c r="E222" s="56" t="n"/>
      <c r="F222" s="44" t="n"/>
      <c r="G222" s="44" t="n"/>
      <c r="H222" s="56" t="n"/>
      <c r="I222" s="56" t="n"/>
      <c r="J222" s="56" t="n"/>
      <c r="K222" s="56" t="n"/>
    </row>
    <row r="223" ht="32" customHeight="1" s="33">
      <c r="A223" s="56" t="n">
        <v>205</v>
      </c>
      <c r="B223" s="41" t="inlineStr">
        <is>
          <t>他部門システムとの連携要件</t>
        </is>
      </c>
      <c r="C223" s="41" t="inlineStr">
        <is>
          <t>部門別連携仕様</t>
        </is>
      </c>
      <c r="D223" s="41" t="inlineStr">
        <is>
          <t>モデル名:AI提案書生成 | 利用部門:営業本部 | モデル種別:Azure OpenAI GPT-4o | 推論方式:リアルタイム推論</t>
        </is>
      </c>
      <c r="E223" s="56" t="n"/>
      <c r="F223" s="44" t="n"/>
      <c r="G223" s="44" t="n"/>
      <c r="H223" s="56" t="n"/>
      <c r="I223" s="56" t="n"/>
      <c r="J223" s="56" t="n"/>
      <c r="K223" s="56" t="n"/>
    </row>
    <row r="224" ht="32" customHeight="1" s="33">
      <c r="A224" s="56" t="n">
        <v>206</v>
      </c>
      <c r="B224" s="41" t="inlineStr">
        <is>
          <t>他部門システムとの連携要件</t>
        </is>
      </c>
      <c r="C224" s="41" t="inlineStr">
        <is>
          <t>部門別連携仕様</t>
        </is>
      </c>
      <c r="D224" s="41" t="inlineStr">
        <is>
          <t>モデル名:地盤データ分析 | 利用部門:技術本部 | モデル種別:クラスタリング + 回帰 | 推論方式:バッチ推論</t>
        </is>
      </c>
      <c r="E224" s="56" t="n"/>
      <c r="F224" s="44" t="n"/>
      <c r="G224" s="44" t="n"/>
      <c r="H224" s="56" t="n"/>
      <c r="I224" s="56" t="n"/>
      <c r="J224" s="56" t="n"/>
      <c r="K224" s="56" t="n"/>
    </row>
    <row r="225" ht="32" customHeight="1" s="33">
      <c r="A225" s="56" t="n">
        <v>207</v>
      </c>
      <c r="B225" s="41" t="inlineStr">
        <is>
          <t>他部門システムとの連携要件</t>
        </is>
      </c>
      <c r="C225" s="41" t="inlineStr">
        <is>
          <t>部門別連携仕様</t>
        </is>
      </c>
      <c r="D225" s="41" t="inlineStr">
        <is>
          <t>モデル名:燃費最適化モデル | 利用部門:船舶事業部 | モデル種別:強化学習 | 推論方式:リアルタイム推論</t>
        </is>
      </c>
      <c r="E225" s="56" t="n"/>
      <c r="F225" s="44" t="n"/>
      <c r="G225" s="44" t="n"/>
      <c r="H225" s="56" t="n"/>
      <c r="I225" s="56" t="n"/>
      <c r="J225" s="56" t="n"/>
      <c r="K225" s="56" t="n"/>
    </row>
    <row r="226" ht="32" customHeight="1" s="33">
      <c r="A226" s="56" t="n">
        <v>208</v>
      </c>
      <c r="B226" s="41" t="inlineStr">
        <is>
          <t>他部門システムとの連携要件</t>
        </is>
      </c>
      <c r="C226" s="41" t="inlineStr">
        <is>
          <t>部門別連携仕様</t>
        </is>
      </c>
      <c r="D226" s="41" t="inlineStr">
        <is>
          <t>モデル名:AIヘルプデスク | 利用部門:IT-DX部門 | モデル種別:Azure OpenAI + RAG | 推論方式:リアルタイム推論</t>
        </is>
      </c>
      <c r="E226" s="56" t="n"/>
      <c r="F226" s="44" t="n"/>
      <c r="G226" s="44" t="n"/>
      <c r="H226" s="56" t="n"/>
      <c r="I226" s="56" t="n"/>
      <c r="J226" s="56" t="n"/>
      <c r="K226" s="56" t="n"/>
    </row>
    <row r="227" ht="32" customHeight="1" s="33">
      <c r="A227" s="56" t="n">
        <v>209</v>
      </c>
      <c r="B227" s="41" t="inlineStr">
        <is>
          <t>他部門システムとの連携要件</t>
        </is>
      </c>
      <c r="C227" s="41" t="inlineStr">
        <is>
          <t>部門別連携仕様</t>
        </is>
      </c>
      <c r="D227" s="41" t="inlineStr">
        <is>
          <t>対象:施工現場 | モデル形式:IFC (BIM) + 点群 | データソース:BIMモデル + ドローン測量 | 更新頻度:週次</t>
        </is>
      </c>
      <c r="E227" s="56" t="n"/>
      <c r="F227" s="44" t="n"/>
      <c r="G227" s="44" t="n"/>
      <c r="H227" s="56" t="n"/>
      <c r="I227" s="56" t="n"/>
      <c r="J227" s="56" t="n"/>
      <c r="K227" s="56" t="n"/>
    </row>
    <row r="228" ht="48" customHeight="1" s="33">
      <c r="A228" s="56" t="n">
        <v>210</v>
      </c>
      <c r="B228" s="41" t="inlineStr">
        <is>
          <t>他部門システムとの連携要件</t>
        </is>
      </c>
      <c r="C228" s="41" t="inlineStr">
        <is>
          <t>部門別連携仕様</t>
        </is>
      </c>
      <c r="D228" s="41" t="inlineStr">
        <is>
          <t>対象:インフラ構造物 | モデル形式:CIM (IFC/LandXML) | データソース:CIMモデル + IoTセンサー | 更新頻度:リアルタイム</t>
        </is>
      </c>
      <c r="E228" s="56" t="n"/>
      <c r="F228" s="44" t="n"/>
      <c r="G228" s="44" t="n"/>
      <c r="H228" s="56" t="n"/>
      <c r="I228" s="56" t="n"/>
      <c r="J228" s="56" t="n"/>
      <c r="K228" s="56" t="n"/>
    </row>
    <row r="229" ht="32" customHeight="1" s="33">
      <c r="A229" s="56" t="n">
        <v>211</v>
      </c>
      <c r="B229" s="41" t="inlineStr">
        <is>
          <t>他部門システムとの連携要件</t>
        </is>
      </c>
      <c r="C229" s="41" t="inlineStr">
        <is>
          <t>部門別連携仕様</t>
        </is>
      </c>
      <c r="D229" s="41" t="inlineStr">
        <is>
          <t>対象:船舶 | モデル形式:3Dモデル (glTF) | データソース:AIS/GPS + センサー | 更新頻度:リアルタイム</t>
        </is>
      </c>
      <c r="E229" s="56" t="n"/>
      <c r="F229" s="44" t="n"/>
      <c r="G229" s="44" t="n"/>
      <c r="H229" s="56" t="n"/>
      <c r="I229" s="56" t="n"/>
      <c r="J229" s="56" t="n"/>
      <c r="K229" s="56" t="n"/>
    </row>
    <row r="230" ht="32" customHeight="1" s="33">
      <c r="A230" s="56" t="n">
        <v>212</v>
      </c>
      <c r="B230" s="41" t="inlineStr">
        <is>
          <t>他部門システムとの連携要件</t>
        </is>
      </c>
      <c r="C230" s="41" t="inlineStr">
        <is>
          <t>部門別連携仕様</t>
        </is>
      </c>
      <c r="D230" s="41" t="inlineStr">
        <is>
          <t>対象:事務所・設備 | モデル形式:BIM (IFC) | データソース:設備台帳 + IoT | 更新頻度:月次</t>
        </is>
      </c>
      <c r="E230" s="56" t="n"/>
      <c r="F230" s="44" t="n"/>
      <c r="G230" s="44" t="n"/>
      <c r="H230" s="56" t="n"/>
      <c r="I230" s="56" t="n"/>
      <c r="J230" s="56" t="n"/>
      <c r="K230" s="56" t="n"/>
    </row>
    <row r="231" ht="32" customHeight="1" s="33">
      <c r="A231" s="56" t="n">
        <v>213</v>
      </c>
      <c r="B231" s="41" t="inlineStr">
        <is>
          <t>他部門システムとの連携要件</t>
        </is>
      </c>
      <c r="C231" s="41" t="inlineStr">
        <is>
          <t>部門別連携仕様</t>
        </is>
      </c>
      <c r="D231" s="44" t="inlineStr">
        <is>
          <t>API カテゴリ:マスタデータAPI | エンドポイント例:/api/v1/masters/{type} | 利用部門:全部門</t>
        </is>
      </c>
      <c r="E231" s="56" t="n"/>
      <c r="F231" s="44" t="n"/>
      <c r="G231" s="44" t="n"/>
      <c r="H231" s="56" t="n"/>
      <c r="I231" s="56" t="n"/>
      <c r="J231" s="56" t="n"/>
      <c r="K231" s="56" t="n"/>
    </row>
    <row r="232" ht="48" customHeight="1" s="33">
      <c r="A232" s="56" t="n">
        <v>214</v>
      </c>
      <c r="B232" s="41" t="inlineStr">
        <is>
          <t>他部門システムとの連携要件</t>
        </is>
      </c>
      <c r="C232" s="41" t="inlineStr">
        <is>
          <t>部門別連携仕様</t>
        </is>
      </c>
      <c r="D232" s="44" t="inlineStr">
        <is>
          <t>API カテゴリ:施工データAPI | エンドポイント例:/api/v1/construction/{project_id} | 利用部門:施工本部</t>
        </is>
      </c>
      <c r="E232" s="56" t="n"/>
      <c r="F232" s="44" t="n"/>
      <c r="G232" s="44" t="n"/>
      <c r="H232" s="56" t="n"/>
      <c r="I232" s="56" t="n"/>
      <c r="J232" s="56" t="n"/>
      <c r="K232" s="56" t="n"/>
    </row>
    <row r="233" ht="32" customHeight="1" s="33">
      <c r="A233" s="56" t="n">
        <v>215</v>
      </c>
      <c r="B233" s="41" t="inlineStr">
        <is>
          <t>他部門システムとの連携要件</t>
        </is>
      </c>
      <c r="C233" s="41" t="inlineStr">
        <is>
          <t>部門別連携仕様</t>
        </is>
      </c>
      <c r="D233" s="44" t="inlineStr">
        <is>
          <t>API カテゴリ:安全データAPI | エンドポイント例:/api/v1/safety/{site_id} | 利用部門:安全品質環境本部</t>
        </is>
      </c>
      <c r="E233" s="56" t="n"/>
      <c r="F233" s="44" t="n"/>
      <c r="G233" s="44" t="n"/>
      <c r="H233" s="56" t="n"/>
      <c r="I233" s="56" t="n"/>
      <c r="J233" s="56" t="n"/>
      <c r="K233" s="56" t="n"/>
    </row>
    <row r="234" ht="32" customHeight="1" s="33">
      <c r="A234" s="56" t="n">
        <v>216</v>
      </c>
      <c r="B234" s="41" t="inlineStr">
        <is>
          <t>他部門システムとの連携要件</t>
        </is>
      </c>
      <c r="C234" s="41" t="inlineStr">
        <is>
          <t>部門別連携仕様</t>
        </is>
      </c>
      <c r="D234" s="44" t="inlineStr">
        <is>
          <t>API カテゴリ:分析データAPI | エンドポイント例:/api/v1/analytics/{mart_name} | 利用部門:経営企画部</t>
        </is>
      </c>
      <c r="E234" s="56" t="n"/>
      <c r="F234" s="44" t="n"/>
      <c r="G234" s="44" t="n"/>
      <c r="H234" s="56" t="n"/>
      <c r="I234" s="56" t="n"/>
      <c r="J234" s="56" t="n"/>
      <c r="K234" s="56" t="n"/>
    </row>
    <row r="235" ht="32" customHeight="1" s="33">
      <c r="A235" s="56" t="n">
        <v>217</v>
      </c>
      <c r="B235" s="41" t="inlineStr">
        <is>
          <t>他部門システムとの連携要件</t>
        </is>
      </c>
      <c r="C235" s="41" t="inlineStr">
        <is>
          <t>部門別連携仕様</t>
        </is>
      </c>
      <c r="D235" s="44" t="inlineStr">
        <is>
          <t>API カテゴリ:空間データAPI | エンドポイント例:/api/v1/spatial/query | 利用部門:技術本部</t>
        </is>
      </c>
      <c r="E235" s="56" t="n"/>
      <c r="F235" s="44" t="n"/>
      <c r="G235" s="44" t="n"/>
      <c r="H235" s="56" t="n"/>
      <c r="I235" s="56" t="n"/>
      <c r="J235" s="56" t="n"/>
      <c r="K235" s="56" t="n"/>
    </row>
    <row r="236" ht="32" customHeight="1" s="33">
      <c r="A236" s="56" t="n">
        <v>218</v>
      </c>
      <c r="B236" s="41" t="inlineStr">
        <is>
          <t>他部門システムとの連携要件</t>
        </is>
      </c>
      <c r="C236" s="41" t="inlineStr">
        <is>
          <t>部門別連携仕様</t>
        </is>
      </c>
      <c r="D236" s="44" t="inlineStr">
        <is>
          <t>API カテゴリ:AI推論API | エンドポイント例:/api/v1/ml/predict/{model_name} | 利用部門:全部門</t>
        </is>
      </c>
      <c r="E236" s="56" t="n"/>
      <c r="F236" s="44" t="n"/>
      <c r="G236" s="44" t="n"/>
      <c r="H236" s="56" t="n"/>
      <c r="I236" s="56" t="n"/>
      <c r="J236" s="56" t="n"/>
      <c r="K236" s="56" t="n"/>
    </row>
    <row r="237" ht="48" customHeight="1" s="33">
      <c r="A237" s="56" t="n">
        <v>219</v>
      </c>
      <c r="B237" s="41" t="inlineStr">
        <is>
          <t>他部門システムとの連携要件</t>
        </is>
      </c>
      <c r="C237" s="41" t="inlineStr">
        <is>
          <t>部門別連携仕様</t>
        </is>
      </c>
      <c r="D237" s="44" t="inlineStr">
        <is>
          <t>API カテゴリ:IoTデータAPI | エンドポイント例:/api/v1/iot/{device_id}/telemetry | 利用部門:施工本部・船舶事業部</t>
        </is>
      </c>
      <c r="E237" s="56" t="n"/>
      <c r="F237" s="44" t="n"/>
      <c r="G237" s="44" t="n"/>
      <c r="H237" s="56" t="n"/>
      <c r="I237" s="56" t="n"/>
      <c r="J237" s="56" t="n"/>
      <c r="K237" s="56" t="n"/>
    </row>
    <row r="238" ht="32" customHeight="1" s="33">
      <c r="A238" s="56" t="n">
        <v>220</v>
      </c>
      <c r="B238" s="41" t="inlineStr">
        <is>
          <t>他部門システムとの連携要件</t>
        </is>
      </c>
      <c r="C238" s="41" t="inlineStr">
        <is>
          <t>部門別連携仕様</t>
        </is>
      </c>
      <c r="D238" s="44" t="inlineStr">
        <is>
          <t>API カテゴリ:文書検索API | エンドポイント例:/api/v1/search/documents | 利用部門:全部門</t>
        </is>
      </c>
      <c r="E238" s="56" t="n"/>
      <c r="F238" s="44" t="n"/>
      <c r="G238" s="44" t="n"/>
      <c r="H238" s="56" t="n"/>
      <c r="I238" s="56" t="n"/>
      <c r="J238" s="56" t="n"/>
      <c r="K238" s="56" t="n"/>
    </row>
    <row r="239" ht="32" customHeight="1" s="33">
      <c r="A239" s="56" t="n">
        <v>221</v>
      </c>
      <c r="B239" s="41" t="inlineStr">
        <is>
          <t>他部門システムとの連携要件</t>
        </is>
      </c>
      <c r="C239" s="41" t="inlineStr">
        <is>
          <t>部門別連携仕様</t>
        </is>
      </c>
      <c r="D239" s="41" t="inlineStr">
        <is>
          <t>連携先:CCUS（建設キャリアアップシステム） | 用途:技能者情報連携 | プロトコル:REST API</t>
        </is>
      </c>
      <c r="E239" s="56" t="n"/>
      <c r="F239" s="44" t="n"/>
      <c r="G239" s="44" t="n"/>
      <c r="H239" s="56" t="n"/>
      <c r="I239" s="56" t="n"/>
      <c r="J239" s="56" t="n"/>
      <c r="K239" s="56" t="n"/>
    </row>
    <row r="240" ht="32" customHeight="1" s="33">
      <c r="A240" s="56" t="n">
        <v>222</v>
      </c>
      <c r="B240" s="41" t="inlineStr">
        <is>
          <t>他部門システムとの連携要件</t>
        </is>
      </c>
      <c r="C240" s="41" t="inlineStr">
        <is>
          <t>部門別連携仕様</t>
        </is>
      </c>
      <c r="D240" s="41" t="inlineStr">
        <is>
          <t>連携先:CORINS（工事実績情報） | 用途:工事実績登録 | プロトコル:SOAP/REST</t>
        </is>
      </c>
      <c r="E240" s="56" t="n"/>
      <c r="F240" s="44" t="n"/>
      <c r="G240" s="44" t="n"/>
      <c r="H240" s="56" t="n"/>
      <c r="I240" s="56" t="n"/>
      <c r="J240" s="56" t="n"/>
      <c r="K240" s="56" t="n"/>
    </row>
    <row r="241" ht="32" customHeight="1" s="33">
      <c r="A241" s="56" t="n">
        <v>223</v>
      </c>
      <c r="B241" s="41" t="inlineStr">
        <is>
          <t>他部門システムとの連携要件</t>
        </is>
      </c>
      <c r="C241" s="41" t="inlineStr">
        <is>
          <t>部門別連携仕様</t>
        </is>
      </c>
      <c r="D241" s="41" t="inlineStr">
        <is>
          <t>連携先:国土交通省 電子納品 | 用途:成果物提出 | プロトコル:ファイル連携</t>
        </is>
      </c>
      <c r="E241" s="56" t="n"/>
      <c r="F241" s="44" t="n"/>
      <c r="G241" s="44" t="n"/>
      <c r="H241" s="56" t="n"/>
      <c r="I241" s="56" t="n"/>
      <c r="J241" s="56" t="n"/>
      <c r="K241" s="56" t="n"/>
    </row>
    <row r="242" ht="32" customHeight="1" s="33">
      <c r="A242" s="56" t="n">
        <v>224</v>
      </c>
      <c r="B242" s="41" t="inlineStr">
        <is>
          <t>他部門システムとの連携要件</t>
        </is>
      </c>
      <c r="C242" s="41" t="inlineStr">
        <is>
          <t>部門別連携仕様</t>
        </is>
      </c>
      <c r="D242" s="41" t="inlineStr">
        <is>
          <t>連携先:気象庁API | 用途:気象データ取得 | プロトコル:REST API</t>
        </is>
      </c>
      <c r="E242" s="56" t="n"/>
      <c r="F242" s="44" t="n"/>
      <c r="G242" s="44" t="n"/>
      <c r="H242" s="56" t="n"/>
      <c r="I242" s="56" t="n"/>
      <c r="J242" s="56" t="n"/>
      <c r="K242" s="56" t="n"/>
    </row>
    <row r="243" ht="32" customHeight="1" s="33">
      <c r="A243" s="56" t="n">
        <v>225</v>
      </c>
      <c r="B243" s="41" t="inlineStr">
        <is>
          <t>他部門システムとの連携要件</t>
        </is>
      </c>
      <c r="C243" s="41" t="inlineStr">
        <is>
          <t>部門別連携仕様</t>
        </is>
      </c>
      <c r="D243" s="41" t="inlineStr">
        <is>
          <t>連携先:国土地理院 | 用途:地図データ取得 | プロトコル:WMS/WMTS</t>
        </is>
      </c>
      <c r="E243" s="56" t="n"/>
      <c r="F243" s="44" t="n"/>
      <c r="G243" s="44" t="n"/>
      <c r="H243" s="56" t="n"/>
      <c r="I243" s="56" t="n"/>
      <c r="J243" s="56" t="n"/>
      <c r="K243" s="56" t="n"/>
    </row>
    <row r="244" ht="16" customHeight="1" s="33">
      <c r="A244" s="56" t="n">
        <v>226</v>
      </c>
      <c r="B244" s="41" t="inlineStr">
        <is>
          <t>他部門システムとの連携要件</t>
        </is>
      </c>
      <c r="C244" s="41" t="inlineStr">
        <is>
          <t>部門別連携仕様</t>
        </is>
      </c>
      <c r="D244" s="41" t="inlineStr">
        <is>
          <t>連携先:日本郵便 | 用途:住所正規化 | プロトコル:REST API</t>
        </is>
      </c>
      <c r="E244" s="56" t="n"/>
      <c r="F244" s="44" t="n"/>
      <c r="G244" s="44" t="n"/>
      <c r="H244" s="56" t="n"/>
      <c r="I244" s="56" t="n"/>
      <c r="J244" s="56" t="n"/>
      <c r="K244" s="56" t="n"/>
    </row>
    <row r="245" ht="32" customHeight="1" s="33">
      <c r="A245" s="56" t="n">
        <v>227</v>
      </c>
      <c r="B245" s="41" t="inlineStr">
        <is>
          <t>他部門システムとの連携要件</t>
        </is>
      </c>
      <c r="C245" s="41" t="inlineStr">
        <is>
          <t>部門別連携仕様</t>
        </is>
      </c>
      <c r="D245" s="41" t="inlineStr">
        <is>
          <t>連携先:HENNGE | 用途:SSO認証連携 | プロトコル:SAML/OIDC</t>
        </is>
      </c>
      <c r="E245" s="56" t="n"/>
      <c r="F245" s="44" t="n"/>
      <c r="G245" s="44" t="n"/>
      <c r="H245" s="56" t="n"/>
      <c r="I245" s="56" t="n"/>
      <c r="J245" s="56" t="n"/>
      <c r="K245" s="56" t="n"/>
    </row>
    <row r="246" ht="32" customHeight="1" s="33">
      <c r="A246" s="56" t="n">
        <v>228</v>
      </c>
      <c r="B246" s="41" t="inlineStr">
        <is>
          <t>他部門システムとの連携要件</t>
        </is>
      </c>
      <c r="C246" s="41" t="inlineStr">
        <is>
          <t>部門別連携仕様</t>
        </is>
      </c>
      <c r="D246" s="41" t="inlineStr">
        <is>
          <t>連携先:Azure OpenAI | 用途:AI推論 | プロトコル:REST API</t>
        </is>
      </c>
      <c r="E246" s="56" t="n"/>
      <c r="F246" s="44" t="n"/>
      <c r="G246" s="44" t="n"/>
      <c r="H246" s="56" t="n"/>
      <c r="I246" s="56" t="n"/>
      <c r="J246" s="56" t="n"/>
      <c r="K246" s="56" t="n"/>
    </row>
    <row r="247" ht="32" customHeight="1" s="33">
      <c r="A247" s="56" t="n">
        <v>229</v>
      </c>
      <c r="B247" s="41" t="inlineStr">
        <is>
          <t>他部門システムとの連携要件</t>
        </is>
      </c>
      <c r="C247" s="41" t="inlineStr">
        <is>
          <t>部門別連携仕様</t>
        </is>
      </c>
      <c r="D247" s="41" t="inlineStr">
        <is>
          <t>階層:Hot | 用途:直近1ヶ月のアクティブデータ | ストレージ種別:SSD（NVMe） | アクセス頻度:高頻度 | コスト:高</t>
        </is>
      </c>
      <c r="E247" s="56" t="n"/>
      <c r="F247" s="44" t="n"/>
      <c r="G247" s="44" t="n"/>
      <c r="H247" s="56" t="n"/>
      <c r="I247" s="56" t="n"/>
      <c r="J247" s="56" t="n"/>
      <c r="K247" s="56" t="n"/>
    </row>
    <row r="248" ht="32" customHeight="1" s="33">
      <c r="A248" s="56" t="n">
        <v>230</v>
      </c>
      <c r="B248" s="41" t="inlineStr">
        <is>
          <t>他部門システムとの連携要件</t>
        </is>
      </c>
      <c r="C248" s="41" t="inlineStr">
        <is>
          <t>部門別連携仕様</t>
        </is>
      </c>
      <c r="D248" s="41" t="inlineStr">
        <is>
          <t>階層:Warm | 用途:1ヶ月〜1年のデータ | ストレージ種別:HDD（RAID） | アクセス頻度:中頻度 | コスト:中</t>
        </is>
      </c>
      <c r="E248" s="56" t="n"/>
      <c r="F248" s="44" t="n"/>
      <c r="G248" s="44" t="n"/>
      <c r="H248" s="56" t="n"/>
      <c r="I248" s="56" t="n"/>
      <c r="J248" s="56" t="n"/>
      <c r="K248" s="56" t="n"/>
    </row>
    <row r="249" ht="32" customHeight="1" s="33">
      <c r="A249" s="56" t="n">
        <v>231</v>
      </c>
      <c r="B249" s="41" t="inlineStr">
        <is>
          <t>他部門システムとの連携要件</t>
        </is>
      </c>
      <c r="C249" s="41" t="inlineStr">
        <is>
          <t>部門別連携仕様</t>
        </is>
      </c>
      <c r="D249" s="41" t="inlineStr">
        <is>
          <t>階層:Cold | 用途:1年〜5年のアーカイブ | ストレージ種別:オブジェクトストレージ | アクセス頻度:低頻度 | コスト:低</t>
        </is>
      </c>
      <c r="E249" s="56" t="n"/>
      <c r="F249" s="44" t="n"/>
      <c r="G249" s="44" t="n"/>
      <c r="H249" s="56" t="n"/>
      <c r="I249" s="56" t="n"/>
      <c r="J249" s="56" t="n"/>
      <c r="K249" s="56" t="n"/>
    </row>
    <row r="250" ht="32" customHeight="1" s="33">
      <c r="A250" s="56" t="n">
        <v>232</v>
      </c>
      <c r="B250" s="41" t="inlineStr">
        <is>
          <t>他部門システムとの連携要件</t>
        </is>
      </c>
      <c r="C250" s="41" t="inlineStr">
        <is>
          <t>部門別連携仕様</t>
        </is>
      </c>
      <c r="D250" s="41" t="inlineStr">
        <is>
          <t>階層:Archive | 用途:5年以上の長期保管 | ストレージ種別:Glacier互換 | アクセス頻度:極低頻度 | コスト:最低</t>
        </is>
      </c>
      <c r="E250" s="56" t="n"/>
      <c r="F250" s="44" t="n"/>
      <c r="G250" s="44" t="n"/>
      <c r="H250" s="56" t="n"/>
      <c r="I250" s="56" t="n"/>
      <c r="J250" s="56" t="n"/>
      <c r="K250" s="56" t="n"/>
    </row>
    <row r="251" ht="48" customHeight="1" s="33">
      <c r="A251" s="56" t="n">
        <v>233</v>
      </c>
      <c r="B251" s="41" t="inlineStr">
        <is>
          <t>他部門システムとの連携要件</t>
        </is>
      </c>
      <c r="C251" s="41" t="inlineStr">
        <is>
          <t>部門別連携仕様</t>
        </is>
      </c>
      <c r="D251" s="41" t="inlineStr">
        <is>
          <t>対象:PostgreSQL | バックアップ方式:WALアーカイブ + ベースバックアップ | 頻度:継続的 + 日次 | 保持期間:30世代 | RPO:5分 | RTO:1時間</t>
        </is>
      </c>
      <c r="E251" s="56" t="n"/>
      <c r="F251" s="44" t="n"/>
      <c r="G251" s="44" t="n"/>
      <c r="H251" s="56" t="n"/>
      <c r="I251" s="56" t="n"/>
      <c r="J251" s="56" t="n"/>
      <c r="K251" s="56" t="n"/>
    </row>
    <row r="252" ht="32" customHeight="1" s="33">
      <c r="A252" s="56" t="n">
        <v>234</v>
      </c>
      <c r="B252" s="41" t="inlineStr">
        <is>
          <t>他部門システムとの連携要件</t>
        </is>
      </c>
      <c r="C252" s="41" t="inlineStr">
        <is>
          <t>部門別連携仕様</t>
        </is>
      </c>
      <c r="D252" s="41" t="inlineStr">
        <is>
          <t>対象:TimescaleDB | バックアップ方式:連続アーカイブ | 頻度:継続的 | 保持期間:14日 | RPO:5分 | RTO:2時間</t>
        </is>
      </c>
      <c r="E252" s="56" t="n"/>
      <c r="F252" s="44" t="n"/>
      <c r="G252" s="44" t="n"/>
      <c r="H252" s="56" t="n"/>
      <c r="I252" s="56" t="n"/>
      <c r="J252" s="56" t="n"/>
      <c r="K252" s="56" t="n"/>
    </row>
    <row r="253" ht="48" customHeight="1" s="33">
      <c r="A253" s="56" t="n">
        <v>235</v>
      </c>
      <c r="B253" s="41" t="inlineStr">
        <is>
          <t>他部門システムとの連携要件</t>
        </is>
      </c>
      <c r="C253" s="41" t="inlineStr">
        <is>
          <t>部門別連携仕様</t>
        </is>
      </c>
      <c r="D253" s="41" t="inlineStr">
        <is>
          <t>対象:Elasticsearch | バックアップ方式:スナップショット | 頻度:日次 | 保持期間:7世代 | RPO:24時間 | RTO:4時間</t>
        </is>
      </c>
      <c r="E253" s="56" t="n"/>
      <c r="F253" s="44" t="n"/>
      <c r="G253" s="44" t="n"/>
      <c r="H253" s="56" t="n"/>
      <c r="I253" s="56" t="n"/>
      <c r="J253" s="56" t="n"/>
      <c r="K253" s="56" t="n"/>
    </row>
    <row r="254" ht="48" customHeight="1" s="33">
      <c r="A254" s="56" t="n">
        <v>236</v>
      </c>
      <c r="B254" s="41" t="inlineStr">
        <is>
          <t>他部門システムとの連携要件</t>
        </is>
      </c>
      <c r="C254" s="41" t="inlineStr">
        <is>
          <t>部門別連携仕様</t>
        </is>
      </c>
      <c r="D254" s="41" t="inlineStr">
        <is>
          <t>対象:オブジェクトストレージ | バックアップ方式:クロスリージョンレプリケーション | 頻度:リアルタイム | 保持期間:N/A | RPO:0 | RTO:即時</t>
        </is>
      </c>
      <c r="E254" s="56" t="n"/>
      <c r="F254" s="44" t="n"/>
      <c r="G254" s="44" t="n"/>
      <c r="H254" s="56" t="n"/>
      <c r="I254" s="56" t="n"/>
      <c r="J254" s="56" t="n"/>
      <c r="K254" s="56" t="n"/>
    </row>
    <row r="255" ht="32" customHeight="1" s="33">
      <c r="A255" s="56" t="n">
        <v>237</v>
      </c>
      <c r="B255" s="41" t="inlineStr">
        <is>
          <t>他部門システムとの連携要件</t>
        </is>
      </c>
      <c r="C255" s="41" t="inlineStr">
        <is>
          <t>部門別連携仕様</t>
        </is>
      </c>
      <c r="D255" s="41" t="inlineStr">
        <is>
          <t>対象:Kafka | バックアップ方式:ミラーメーカー | 頻度:リアルタイム | 保持期間:7日 | RPO:数秒 | RTO:30分</t>
        </is>
      </c>
      <c r="E255" s="56" t="n"/>
      <c r="F255" s="44" t="n"/>
      <c r="G255" s="44" t="n"/>
      <c r="H255" s="56" t="n"/>
      <c r="I255" s="56" t="n"/>
      <c r="J255" s="56" t="n"/>
      <c r="K255" s="56" t="n"/>
    </row>
    <row r="256" ht="48" customHeight="1" s="33">
      <c r="A256" s="56" t="n">
        <v>238</v>
      </c>
      <c r="B256" s="41" t="inlineStr">
        <is>
          <t>他部門システムとの連携要件</t>
        </is>
      </c>
      <c r="C256" s="41" t="inlineStr">
        <is>
          <t>部門別連携仕様</t>
        </is>
      </c>
      <c r="D256" s="41" t="inlineStr">
        <is>
          <t>対象:BIM/CIMモデル | バックアップ方式:バージョン管理 + 差分バックアップ | 頻度:日次 | 保持期間:永年 | RPO:24時間 | RTO:8時間</t>
        </is>
      </c>
      <c r="E256" s="56" t="n"/>
      <c r="F256" s="44" t="n"/>
      <c r="G256" s="44" t="n"/>
      <c r="H256" s="56" t="n"/>
      <c r="I256" s="56" t="n"/>
      <c r="J256" s="56" t="n"/>
      <c r="K256" s="56" t="n"/>
    </row>
    <row r="257" ht="16" customHeight="1" s="33">
      <c r="A257" s="56" t="n">
        <v>239</v>
      </c>
      <c r="B257" s="41" t="inlineStr">
        <is>
          <t>他部門システムとの連携要件</t>
        </is>
      </c>
      <c r="C257" s="41" t="inlineStr">
        <is>
          <t>部門別連携仕様</t>
        </is>
      </c>
      <c r="D257" s="41" t="inlineStr">
        <is>
          <t>項目:ETLバッチ処理時間 | 要件:日次フルロード：2時間以内</t>
        </is>
      </c>
      <c r="E257" s="56" t="n"/>
      <c r="F257" s="44" t="n"/>
      <c r="G257" s="44" t="n"/>
      <c r="H257" s="56" t="n"/>
      <c r="I257" s="56" t="n"/>
      <c r="J257" s="56" t="n"/>
      <c r="K257" s="56" t="n"/>
    </row>
    <row r="258" ht="16" customHeight="1" s="33">
      <c r="A258" s="56" t="n">
        <v>240</v>
      </c>
      <c r="B258" s="41" t="inlineStr">
        <is>
          <t>他部門システムとの連携要件</t>
        </is>
      </c>
      <c r="C258" s="41" t="inlineStr">
        <is>
          <t>部門別連携仕様</t>
        </is>
      </c>
      <c r="D258" s="41" t="inlineStr">
        <is>
          <t>項目:ストリーム処理レイテンシ | 要件:End-to-End：5秒以内</t>
        </is>
      </c>
      <c r="E258" s="56" t="n"/>
      <c r="F258" s="44" t="n"/>
      <c r="G258" s="44" t="n"/>
      <c r="H258" s="56" t="n"/>
      <c r="I258" s="56" t="n"/>
      <c r="J258" s="56" t="n"/>
      <c r="K258" s="56" t="n"/>
    </row>
    <row r="259" ht="16" customHeight="1" s="33">
      <c r="A259" s="56" t="n">
        <v>241</v>
      </c>
      <c r="B259" s="41" t="inlineStr">
        <is>
          <t>他部門システムとの連携要件</t>
        </is>
      </c>
      <c r="C259" s="41" t="inlineStr">
        <is>
          <t>部門別連携仕様</t>
        </is>
      </c>
      <c r="D259" s="41" t="inlineStr">
        <is>
          <t>項目:API応答時間 | 要件:95パーセンタイル：500ms以内</t>
        </is>
      </c>
      <c r="E259" s="56" t="n"/>
      <c r="F259" s="44" t="n"/>
      <c r="G259" s="44" t="n"/>
      <c r="H259" s="56" t="n"/>
      <c r="I259" s="56" t="n"/>
      <c r="J259" s="56" t="n"/>
      <c r="K259" s="56" t="n"/>
    </row>
    <row r="260" ht="16" customHeight="1" s="33">
      <c r="A260" s="56" t="n">
        <v>242</v>
      </c>
      <c r="B260" s="41" t="inlineStr">
        <is>
          <t>他部門システムとの連携要件</t>
        </is>
      </c>
      <c r="C260" s="41" t="inlineStr">
        <is>
          <t>部門別連携仕様</t>
        </is>
      </c>
      <c r="D260" s="41" t="inlineStr">
        <is>
          <t>項目:BIクエリ応答 | 要件:標準ダッシュボード：3秒以内</t>
        </is>
      </c>
      <c r="E260" s="56" t="n"/>
      <c r="F260" s="44" t="n"/>
      <c r="G260" s="44" t="n"/>
      <c r="H260" s="56" t="n"/>
      <c r="I260" s="56" t="n"/>
      <c r="J260" s="56" t="n"/>
      <c r="K260" s="56" t="n"/>
    </row>
    <row r="261" ht="32" customHeight="1" s="33">
      <c r="A261" s="56" t="n">
        <v>243</v>
      </c>
      <c r="B261" s="41" t="inlineStr">
        <is>
          <t>他部門システムとの連携要件</t>
        </is>
      </c>
      <c r="C261" s="41" t="inlineStr">
        <is>
          <t>部門別連携仕様</t>
        </is>
      </c>
      <c r="D261" s="41" t="inlineStr">
        <is>
          <t>項目:3Dモデルロード | 要件:初回ロード：10秒以内（100MBモデル）</t>
        </is>
      </c>
      <c r="E261" s="56" t="n"/>
      <c r="F261" s="44" t="n"/>
      <c r="G261" s="44" t="n"/>
      <c r="H261" s="56" t="n"/>
      <c r="I261" s="56" t="n"/>
      <c r="J261" s="56" t="n"/>
      <c r="K261" s="56" t="n"/>
    </row>
    <row r="262" ht="16" customHeight="1" s="33">
      <c r="A262" s="56" t="n">
        <v>244</v>
      </c>
      <c r="B262" s="41" t="inlineStr">
        <is>
          <t>他部門システムとの連携要件</t>
        </is>
      </c>
      <c r="C262" s="41" t="inlineStr">
        <is>
          <t>部門別連携仕様</t>
        </is>
      </c>
      <c r="D262" s="41" t="inlineStr">
        <is>
          <t>項目:同時API接続数 | 要件:500接続以上</t>
        </is>
      </c>
      <c r="E262" s="56" t="n"/>
      <c r="F262" s="44" t="n"/>
      <c r="G262" s="44" t="n"/>
      <c r="H262" s="56" t="n"/>
      <c r="I262" s="56" t="n"/>
      <c r="J262" s="56" t="n"/>
      <c r="K262" s="56" t="n"/>
    </row>
    <row r="263" ht="16" customHeight="1" s="33">
      <c r="A263" s="56" t="n">
        <v>245</v>
      </c>
      <c r="B263" s="41" t="inlineStr">
        <is>
          <t>他部門システムとの連携要件</t>
        </is>
      </c>
      <c r="C263" s="41" t="inlineStr">
        <is>
          <t>部門別連携仕様</t>
        </is>
      </c>
      <c r="D263" s="41" t="inlineStr">
        <is>
          <t>項目:データレイク総容量 | 要件:初年度：5TB、5年後：50TB想定</t>
        </is>
      </c>
      <c r="E263" s="56" t="n"/>
      <c r="F263" s="44" t="n"/>
      <c r="G263" s="44" t="n"/>
      <c r="H263" s="56" t="n"/>
      <c r="I263" s="56" t="n"/>
      <c r="J263" s="56" t="n"/>
      <c r="K263" s="56" t="n"/>
    </row>
    <row r="264" ht="16" customHeight="1" s="33">
      <c r="A264" s="56" t="n">
        <v>246</v>
      </c>
      <c r="B264" s="41" t="inlineStr">
        <is>
          <t>他部門システムとの連携要件</t>
        </is>
      </c>
      <c r="C264" s="41" t="inlineStr">
        <is>
          <t>部門別連携仕様</t>
        </is>
      </c>
      <c r="D264" s="41" t="inlineStr">
        <is>
          <t>項目:システム稼働率 | 要件:99.9%（月間停止43分以内）</t>
        </is>
      </c>
      <c r="E264" s="56" t="n"/>
      <c r="F264" s="44" t="n"/>
      <c r="G264" s="44" t="n"/>
      <c r="H264" s="56" t="n"/>
      <c r="I264" s="56" t="n"/>
      <c r="J264" s="56" t="n"/>
      <c r="K264" s="56" t="n"/>
    </row>
    <row r="265" ht="16" customHeight="1" s="33">
      <c r="A265" s="56" t="n">
        <v>247</v>
      </c>
      <c r="B265" s="41" t="inlineStr">
        <is>
          <t>他部門システムとの連携要件</t>
        </is>
      </c>
      <c r="C265" s="41" t="inlineStr">
        <is>
          <t>部門別連携仕様</t>
        </is>
      </c>
      <c r="D265" s="41" t="inlineStr">
        <is>
          <t>項目:計画停止 | 要件:月1回、日曜深夜2:00-6:00</t>
        </is>
      </c>
      <c r="E265" s="56" t="n"/>
      <c r="F265" s="44" t="n"/>
      <c r="G265" s="44" t="n"/>
      <c r="H265" s="56" t="n"/>
      <c r="I265" s="56" t="n"/>
      <c r="J265" s="56" t="n"/>
      <c r="K265" s="56" t="n"/>
    </row>
    <row r="266" ht="32" customHeight="1" s="33">
      <c r="A266" s="56" t="n">
        <v>248</v>
      </c>
      <c r="B266" s="41" t="inlineStr">
        <is>
          <t>他部門システムとの連携要件</t>
        </is>
      </c>
      <c r="C266" s="41" t="inlineStr">
        <is>
          <t>部門別連携仕様</t>
        </is>
      </c>
      <c r="D266" s="41" t="inlineStr">
        <is>
          <t>項目:データ損失許容 | 要件:RPO: 5分（重要データ）、24時間（参照データ）</t>
        </is>
      </c>
      <c r="E266" s="56" t="n"/>
      <c r="F266" s="44" t="n"/>
      <c r="G266" s="44" t="n"/>
      <c r="H266" s="56" t="n"/>
      <c r="I266" s="56" t="n"/>
      <c r="J266" s="56" t="n"/>
      <c r="K266" s="56" t="n"/>
    </row>
    <row r="267" ht="32" customHeight="1" s="33">
      <c r="A267" s="56" t="n">
        <v>249</v>
      </c>
      <c r="B267" s="41" t="inlineStr">
        <is>
          <t>他部門システムとの連携要件</t>
        </is>
      </c>
      <c r="C267" s="41" t="inlineStr">
        <is>
          <t>部門別連携仕様</t>
        </is>
      </c>
      <c r="D267" s="41" t="inlineStr">
        <is>
          <t>項目:復旧時間 | 要件:RTO: 1時間（コアサービス）、4時間（分析基盤）</t>
        </is>
      </c>
      <c r="E267" s="56" t="n"/>
      <c r="F267" s="44" t="n"/>
      <c r="G267" s="44" t="n"/>
      <c r="H267" s="56" t="n"/>
      <c r="I267" s="56" t="n"/>
      <c r="J267" s="56" t="n"/>
      <c r="K267" s="56" t="n"/>
    </row>
    <row r="268" ht="32" customHeight="1" s="33">
      <c r="A268" s="56" t="n">
        <v>250</v>
      </c>
      <c r="B268" s="41" t="inlineStr">
        <is>
          <t>他部門システムとの連携要件</t>
        </is>
      </c>
      <c r="C268" s="41" t="inlineStr">
        <is>
          <t>部門別連携仕様</t>
        </is>
      </c>
      <c r="D268" s="41" t="inlineStr">
        <is>
          <t>役割:データプラットフォームオーナー | 責任:基盤全体の方針策定・予算管理 | 担当:IT-DX部門長</t>
        </is>
      </c>
      <c r="E268" s="56" t="n"/>
      <c r="F268" s="44" t="n"/>
      <c r="G268" s="44" t="n"/>
      <c r="H268" s="56" t="n"/>
      <c r="I268" s="56" t="n"/>
      <c r="J268" s="56" t="n"/>
      <c r="K268" s="56" t="n"/>
    </row>
    <row r="269" ht="32" customHeight="1" s="33">
      <c r="A269" s="56" t="n">
        <v>251</v>
      </c>
      <c r="B269" s="41" t="inlineStr">
        <is>
          <t>他部門システムとの連携要件</t>
        </is>
      </c>
      <c r="C269" s="41" t="inlineStr">
        <is>
          <t>部門別連携仕様</t>
        </is>
      </c>
      <c r="D269" s="41" t="inlineStr">
        <is>
          <t>役割:データエンジニア | 責任:ETLパイプライン開発・運用 | 担当:IT-DX部門（2名）</t>
        </is>
      </c>
      <c r="E269" s="56" t="n"/>
      <c r="F269" s="44" t="n"/>
      <c r="G269" s="44" t="n"/>
      <c r="H269" s="56" t="n"/>
      <c r="I269" s="56" t="n"/>
      <c r="J269" s="56" t="n"/>
      <c r="K269" s="56" t="n"/>
    </row>
    <row r="270" ht="32" customHeight="1" s="33">
      <c r="A270" s="56" t="n">
        <v>252</v>
      </c>
      <c r="B270" s="41" t="inlineStr">
        <is>
          <t>他部門システムとの連携要件</t>
        </is>
      </c>
      <c r="C270" s="41" t="inlineStr">
        <is>
          <t>部門別連携仕様</t>
        </is>
      </c>
      <c r="D270" s="41" t="inlineStr">
        <is>
          <t>役割:データスチュワード | 責任:データ品質管理・カタログ管理 | 担当:各部門兼任（11名）</t>
        </is>
      </c>
      <c r="E270" s="56" t="n"/>
      <c r="F270" s="44" t="n"/>
      <c r="G270" s="44" t="n"/>
      <c r="H270" s="56" t="n"/>
      <c r="I270" s="56" t="n"/>
      <c r="J270" s="56" t="n"/>
      <c r="K270" s="56" t="n"/>
    </row>
    <row r="271" ht="32" customHeight="1" s="33">
      <c r="A271" s="56" t="n">
        <v>253</v>
      </c>
      <c r="B271" s="41" t="inlineStr">
        <is>
          <t>他部門システムとの連携要件</t>
        </is>
      </c>
      <c r="C271" s="41" t="inlineStr">
        <is>
          <t>部門別連携仕様</t>
        </is>
      </c>
      <c r="D271" s="41" t="inlineStr">
        <is>
          <t>役割:MLエンジニア | 責任:AI/MLモデル開発・MLOps | 担当:IT-DX部門（1名）</t>
        </is>
      </c>
      <c r="E271" s="56" t="n"/>
      <c r="F271" s="44" t="n"/>
      <c r="G271" s="44" t="n"/>
      <c r="H271" s="56" t="n"/>
      <c r="I271" s="56" t="n"/>
      <c r="J271" s="56" t="n"/>
      <c r="K271" s="56" t="n"/>
    </row>
    <row r="272" ht="32" customHeight="1" s="33">
      <c r="A272" s="56" t="n">
        <v>254</v>
      </c>
      <c r="B272" s="41" t="inlineStr">
        <is>
          <t>他部門システムとの連携要件</t>
        </is>
      </c>
      <c r="C272" s="41" t="inlineStr">
        <is>
          <t>部門別連携仕様</t>
        </is>
      </c>
      <c r="D272" s="41" t="inlineStr">
        <is>
          <t>役割:インフラエンジニア | 責任:基盤インフラ運用・監視 | 担当:IT-DX部門（1名）</t>
        </is>
      </c>
      <c r="E272" s="56" t="n"/>
      <c r="F272" s="44" t="n"/>
      <c r="G272" s="44" t="n"/>
      <c r="H272" s="56" t="n"/>
      <c r="I272" s="56" t="n"/>
      <c r="J272" s="56" t="n"/>
      <c r="K272" s="56" t="n"/>
    </row>
    <row r="273" ht="32" customHeight="1" s="33">
      <c r="A273" s="56" t="n">
        <v>255</v>
      </c>
      <c r="B273" s="41" t="inlineStr">
        <is>
          <t>他部門システムとの連携要件</t>
        </is>
      </c>
      <c r="C273" s="41" t="inlineStr">
        <is>
          <t>部門別連携仕様</t>
        </is>
      </c>
      <c r="D273" s="41" t="inlineStr">
        <is>
          <t>サービス:データ鮮度（日次バッチ） | SLA:営業日9:00までに前日データ反映 | 測定方法:Airflow DAG完了時刻</t>
        </is>
      </c>
      <c r="E273" s="56" t="n"/>
      <c r="F273" s="44" t="n"/>
      <c r="G273" s="44" t="n"/>
      <c r="H273" s="56" t="n"/>
      <c r="I273" s="56" t="n"/>
      <c r="J273" s="56" t="n"/>
      <c r="K273" s="56" t="n"/>
    </row>
    <row r="274" ht="32" customHeight="1" s="33">
      <c r="A274" s="56" t="n">
        <v>256</v>
      </c>
      <c r="B274" s="41" t="inlineStr">
        <is>
          <t>他部門システムとの連携要件</t>
        </is>
      </c>
      <c r="C274" s="41" t="inlineStr">
        <is>
          <t>部門別連携仕様</t>
        </is>
      </c>
      <c r="D274" s="41" t="inlineStr">
        <is>
          <t>サービス:データ鮮度（リアルタイム） | SLA:5分以内のデータ反映 | 測定方法:Kafkaコンシューマーラグ</t>
        </is>
      </c>
      <c r="E274" s="56" t="n"/>
      <c r="F274" s="44" t="n"/>
      <c r="G274" s="44" t="n"/>
      <c r="H274" s="56" t="n"/>
      <c r="I274" s="56" t="n"/>
      <c r="J274" s="56" t="n"/>
      <c r="K274" s="56" t="n"/>
    </row>
    <row r="275" ht="32" customHeight="1" s="33">
      <c r="A275" s="56" t="n">
        <v>257</v>
      </c>
      <c r="B275" s="41" t="inlineStr">
        <is>
          <t>他部門システムとの連携要件</t>
        </is>
      </c>
      <c r="C275" s="41" t="inlineStr">
        <is>
          <t>部門別連携仕様</t>
        </is>
      </c>
      <c r="D275" s="41" t="inlineStr">
        <is>
          <t>サービス:API可用性 | SLA:99.9% | 測定方法:Uptime監視</t>
        </is>
      </c>
      <c r="E275" s="56" t="n"/>
      <c r="F275" s="44" t="n"/>
      <c r="G275" s="44" t="n"/>
      <c r="H275" s="56" t="n"/>
      <c r="I275" s="56" t="n"/>
      <c r="J275" s="56" t="n"/>
      <c r="K275" s="56" t="n"/>
    </row>
    <row r="276" ht="32" customHeight="1" s="33">
      <c r="A276" s="56" t="n">
        <v>258</v>
      </c>
      <c r="B276" s="41" t="inlineStr">
        <is>
          <t>他部門システムとの連携要件</t>
        </is>
      </c>
      <c r="C276" s="41" t="inlineStr">
        <is>
          <t>部門別連携仕様</t>
        </is>
      </c>
      <c r="D276" s="41" t="inlineStr">
        <is>
          <t>サービス:データカタログ更新 | SLA:新データセット登録から24時間以内 | 測定方法:カタログ更新ログ</t>
        </is>
      </c>
      <c r="E276" s="56" t="n"/>
      <c r="F276" s="44" t="n"/>
      <c r="G276" s="44" t="n"/>
      <c r="H276" s="56" t="n"/>
      <c r="I276" s="56" t="n"/>
      <c r="J276" s="56" t="n"/>
      <c r="K276" s="56" t="n"/>
    </row>
    <row r="277" ht="32" customHeight="1" s="33">
      <c r="A277" s="56" t="n">
        <v>259</v>
      </c>
      <c r="B277" s="41" t="inlineStr">
        <is>
          <t>他部門システムとの連携要件</t>
        </is>
      </c>
      <c r="C277" s="41" t="inlineStr">
        <is>
          <t>部門別連携仕様</t>
        </is>
      </c>
      <c r="D277" s="41" t="inlineStr">
        <is>
          <t>サービス:インシデント対応 | SLA:P1: 30分以内、P2: 2時間以内 | 測定方法:チケット応答時間</t>
        </is>
      </c>
      <c r="E277" s="56" t="n"/>
      <c r="F277" s="44" t="n"/>
      <c r="G277" s="44" t="n"/>
      <c r="H277" s="56" t="n"/>
      <c r="I277" s="56" t="n"/>
      <c r="J277" s="56" t="n"/>
      <c r="K277" s="56" t="n"/>
    </row>
    <row r="278" ht="32" customHeight="1" s="33">
      <c r="A278" s="56" t="n">
        <v>260</v>
      </c>
      <c r="B278" s="41" t="inlineStr">
        <is>
          <t>他部門システムとの連携要件</t>
        </is>
      </c>
      <c r="C278" s="41" t="inlineStr">
        <is>
          <t>部門別連携仕様</t>
        </is>
      </c>
      <c r="D278" s="41" t="inlineStr">
        <is>
          <t>連携元部門:経営企画部 | 提供データ:KPI目標値 | 受領データ:全社集計KPI、AI予測値</t>
        </is>
      </c>
      <c r="E278" s="56" t="n"/>
      <c r="F278" s="44" t="n"/>
      <c r="G278" s="44" t="n"/>
      <c r="H278" s="56" t="n"/>
      <c r="I278" s="56" t="n"/>
      <c r="J278" s="56" t="n"/>
      <c r="K278" s="56" t="n"/>
    </row>
    <row r="279" ht="32" customHeight="1" s="33">
      <c r="A279" s="56" t="n">
        <v>261</v>
      </c>
      <c r="B279" s="41" t="inlineStr">
        <is>
          <t>他部門システムとの連携要件</t>
        </is>
      </c>
      <c r="C279" s="41" t="inlineStr">
        <is>
          <t>部門別連携仕様</t>
        </is>
      </c>
      <c r="D279" s="41" t="inlineStr">
        <is>
          <t>連携元部門:営業本部 | 提供データ:案件・入札データ | 受領データ:受注確度予測、顧客分析</t>
        </is>
      </c>
      <c r="E279" s="56" t="n"/>
      <c r="F279" s="44" t="n"/>
      <c r="G279" s="44" t="n"/>
      <c r="H279" s="56" t="n"/>
      <c r="I279" s="56" t="n"/>
      <c r="J279" s="56" t="n"/>
      <c r="K279" s="56" t="n"/>
    </row>
    <row r="280" ht="32" customHeight="1" s="33">
      <c r="A280" s="56" t="n">
        <v>262</v>
      </c>
      <c r="B280" s="41" t="inlineStr">
        <is>
          <t>他部門システムとの連携要件</t>
        </is>
      </c>
      <c r="C280" s="41" t="inlineStr">
        <is>
          <t>部門別連携仕様</t>
        </is>
      </c>
      <c r="D280" s="41" t="inlineStr">
        <is>
          <t>連携元部門:ソリューション営業本部 | 提供データ:DXソリューション実績 | 受領データ:技術トレンド分析</t>
        </is>
      </c>
      <c r="E280" s="56" t="n"/>
      <c r="F280" s="44" t="n"/>
      <c r="G280" s="44" t="n"/>
      <c r="H280" s="56" t="n"/>
      <c r="I280" s="56" t="n"/>
      <c r="J280" s="56" t="n"/>
      <c r="K280" s="56" t="n"/>
    </row>
    <row r="281" ht="32" customHeight="1" s="33">
      <c r="A281" s="56" t="n">
        <v>263</v>
      </c>
      <c r="B281" s="41" t="inlineStr">
        <is>
          <t>他部門システムとの連携要件</t>
        </is>
      </c>
      <c r="C281" s="41" t="inlineStr">
        <is>
          <t>部門別連携仕様</t>
        </is>
      </c>
      <c r="D281" s="41" t="inlineStr">
        <is>
          <t>連携元部門:施工本部 | 提供データ:工程・原価・IoTデータ | 受領データ:利益予測、安全アラート</t>
        </is>
      </c>
      <c r="E281" s="56" t="n"/>
      <c r="F281" s="44" t="n"/>
      <c r="G281" s="44" t="n"/>
      <c r="H281" s="56" t="n"/>
      <c r="I281" s="56" t="n"/>
      <c r="J281" s="56" t="n"/>
      <c r="K281" s="56" t="n"/>
    </row>
    <row r="282" ht="32" customHeight="1" s="33">
      <c r="A282" s="56" t="n">
        <v>264</v>
      </c>
      <c r="B282" s="41" t="inlineStr">
        <is>
          <t>他部門システムとの連携要件</t>
        </is>
      </c>
      <c r="C282" s="41" t="inlineStr">
        <is>
          <t>部門別連携仕様</t>
        </is>
      </c>
      <c r="D282" s="41" t="inlineStr">
        <is>
          <t>連携元部門:技術本部 | 提供データ:技術文書、BIMモデル | 受領データ:RAG検索結果、地盤分析</t>
        </is>
      </c>
      <c r="E282" s="56" t="n"/>
      <c r="F282" s="44" t="n"/>
      <c r="G282" s="44" t="n"/>
      <c r="H282" s="56" t="n"/>
      <c r="I282" s="56" t="n"/>
      <c r="J282" s="56" t="n"/>
      <c r="K282" s="56" t="n"/>
    </row>
    <row r="283" ht="32" customHeight="1" s="33">
      <c r="A283" s="56" t="n">
        <v>265</v>
      </c>
      <c r="B283" s="41" t="inlineStr">
        <is>
          <t>他部門システムとの連携要件</t>
        </is>
      </c>
      <c r="C283" s="41" t="inlineStr">
        <is>
          <t>部門別連携仕様</t>
        </is>
      </c>
      <c r="D283" s="41" t="inlineStr">
        <is>
          <t>連携元部門:安全品質環境本部 | 提供データ:安全・品質・環境データ | 受領データ:危険度予測、NCR分析</t>
        </is>
      </c>
      <c r="E283" s="56" t="n"/>
      <c r="F283" s="44" t="n"/>
      <c r="G283" s="44" t="n"/>
      <c r="H283" s="56" t="n"/>
      <c r="I283" s="56" t="n"/>
      <c r="J283" s="56" t="n"/>
      <c r="K283" s="56" t="n"/>
    </row>
    <row r="284" ht="32" customHeight="1" s="33">
      <c r="A284" s="56" t="n">
        <v>266</v>
      </c>
      <c r="B284" s="41" t="inlineStr">
        <is>
          <t>他部門システムとの連携要件</t>
        </is>
      </c>
      <c r="C284" s="41" t="inlineStr">
        <is>
          <t>部門別連携仕様</t>
        </is>
      </c>
      <c r="D284" s="41" t="inlineStr">
        <is>
          <t>連携元部門:管理本部 | 提供データ:会計・人事・契約データ | 受領データ:人材配置最適化、コスト分析</t>
        </is>
      </c>
      <c r="E284" s="56" t="n"/>
      <c r="F284" s="44" t="n"/>
      <c r="G284" s="44" t="n"/>
      <c r="H284" s="56" t="n"/>
      <c r="I284" s="56" t="n"/>
      <c r="J284" s="56" t="n"/>
      <c r="K284" s="56" t="n"/>
    </row>
    <row r="285" ht="32" customHeight="1" s="33">
      <c r="A285" s="56" t="n">
        <v>267</v>
      </c>
      <c r="B285" s="41" t="inlineStr">
        <is>
          <t>他部門システムとの連携要件</t>
        </is>
      </c>
      <c r="C285" s="41" t="inlineStr">
        <is>
          <t>部門別連携仕様</t>
        </is>
      </c>
      <c r="D285" s="41" t="inlineStr">
        <is>
          <t>連携元部門:購買部 | 提供データ:発注・在庫データ | 受領データ:価格予測、発注最適化</t>
        </is>
      </c>
      <c r="E285" s="56" t="n"/>
      <c r="F285" s="44" t="n"/>
      <c r="G285" s="44" t="n"/>
      <c r="H285" s="56" t="n"/>
      <c r="I285" s="56" t="n"/>
      <c r="J285" s="56" t="n"/>
      <c r="K285" s="56" t="n"/>
    </row>
    <row r="286" ht="32" customHeight="1" s="33">
      <c r="A286" s="56" t="n">
        <v>268</v>
      </c>
      <c r="B286" s="41" t="inlineStr">
        <is>
          <t>他部門システムとの連携要件</t>
        </is>
      </c>
      <c r="C286" s="41" t="inlineStr">
        <is>
          <t>部門別連携仕様</t>
        </is>
      </c>
      <c r="D286" s="41" t="inlineStr">
        <is>
          <t>連携元部門:船舶事業部 | 提供データ:運航・燃料データ | 受領データ:燃費最適化、航路分析</t>
        </is>
      </c>
      <c r="E286" s="56" t="n"/>
      <c r="F286" s="44" t="n"/>
      <c r="G286" s="44" t="n"/>
      <c r="H286" s="56" t="n"/>
      <c r="I286" s="56" t="n"/>
      <c r="J286" s="56" t="n"/>
      <c r="K286" s="56" t="n"/>
    </row>
    <row r="287" ht="32" customHeight="1" s="33">
      <c r="A287" s="56" t="n">
        <v>269</v>
      </c>
      <c r="B287" s="41" t="inlineStr">
        <is>
          <t>他部門システムとの連携要件</t>
        </is>
      </c>
      <c r="C287" s="41" t="inlineStr">
        <is>
          <t>部門別連携仕様</t>
        </is>
      </c>
      <c r="D287" s="41" t="inlineStr">
        <is>
          <t>連携元部門:IT-DX部門 | 提供データ:インシデント・CMDBデータ | 受領データ:障害予測、セキュリティ分析</t>
        </is>
      </c>
      <c r="E287" s="56" t="n"/>
      <c r="F287" s="44" t="n"/>
      <c r="G287" s="44" t="n"/>
      <c r="H287" s="56" t="n"/>
      <c r="I287" s="56" t="n"/>
      <c r="J287" s="56" t="n"/>
      <c r="K287" s="56" t="n"/>
    </row>
    <row r="288" ht="16" customHeight="1" s="33">
      <c r="A288" s="58" t="n"/>
      <c r="B288" s="59" t="n"/>
      <c r="C288" s="59" t="n"/>
      <c r="D288" s="59" t="n"/>
      <c r="E288" s="58" t="n"/>
      <c r="F288" s="59" t="n"/>
      <c r="G288" s="59" t="n"/>
      <c r="H288" s="58" t="n"/>
      <c r="I288" s="58" t="n"/>
      <c r="J288" s="58" t="n"/>
      <c r="K288" s="58" t="n"/>
    </row>
    <row r="289" ht="48" customHeight="1" s="33">
      <c r="A289" s="60" t="inlineStr">
        <is>
          <t>■ 新規追加業務（以下に追記してください）</t>
        </is>
      </c>
      <c r="B289" s="54" t="n"/>
      <c r="C289" s="54" t="n"/>
      <c r="D289" s="54" t="n"/>
      <c r="E289" s="55" t="n"/>
      <c r="F289" s="54" t="n"/>
      <c r="G289" s="54" t="n"/>
      <c r="H289" s="55" t="n"/>
      <c r="I289" s="55" t="n"/>
      <c r="J289" s="55" t="n"/>
      <c r="K289" s="55" t="n"/>
    </row>
    <row r="290" ht="16" customHeight="1" s="33">
      <c r="A290" s="61" t="inlineStr">
        <is>
          <t>追1</t>
        </is>
      </c>
      <c r="B290" s="62" t="n"/>
      <c r="C290" s="62" t="n"/>
      <c r="D290" s="62" t="n"/>
      <c r="E290" s="63" t="inlineStr">
        <is>
          <t>追加</t>
        </is>
      </c>
      <c r="F290" s="62" t="n"/>
      <c r="G290" s="62" t="n"/>
      <c r="H290" s="64" t="n"/>
      <c r="I290" s="64" t="n"/>
      <c r="J290" s="64" t="n"/>
      <c r="K290" s="64" t="n"/>
    </row>
    <row r="291" ht="16" customHeight="1" s="33">
      <c r="A291" s="61" t="inlineStr">
        <is>
          <t>追2</t>
        </is>
      </c>
      <c r="B291" s="62" t="n"/>
      <c r="C291" s="62" t="n"/>
      <c r="D291" s="62" t="n"/>
      <c r="E291" s="63" t="inlineStr">
        <is>
          <t>追加</t>
        </is>
      </c>
      <c r="F291" s="62" t="n"/>
      <c r="G291" s="62" t="n"/>
      <c r="H291" s="64" t="n"/>
      <c r="I291" s="64" t="n"/>
      <c r="J291" s="64" t="n"/>
      <c r="K291" s="64" t="n"/>
    </row>
    <row r="292" ht="16" customHeight="1" s="33">
      <c r="A292" s="61" t="inlineStr">
        <is>
          <t>追3</t>
        </is>
      </c>
      <c r="B292" s="62" t="n"/>
      <c r="C292" s="62" t="n"/>
      <c r="D292" s="62" t="n"/>
      <c r="E292" s="63" t="inlineStr">
        <is>
          <t>追加</t>
        </is>
      </c>
      <c r="F292" s="62" t="n"/>
      <c r="G292" s="62" t="n"/>
      <c r="H292" s="64" t="n"/>
      <c r="I292" s="64" t="n"/>
      <c r="J292" s="64" t="n"/>
      <c r="K292" s="64" t="n"/>
    </row>
    <row r="293" ht="16" customHeight="1" s="33">
      <c r="A293" s="61" t="inlineStr">
        <is>
          <t>追4</t>
        </is>
      </c>
      <c r="B293" s="62" t="n"/>
      <c r="C293" s="62" t="n"/>
      <c r="D293" s="62" t="n"/>
      <c r="E293" s="63" t="inlineStr">
        <is>
          <t>追加</t>
        </is>
      </c>
      <c r="F293" s="62" t="n"/>
      <c r="G293" s="62" t="n"/>
      <c r="H293" s="64" t="n"/>
      <c r="I293" s="64" t="n"/>
      <c r="J293" s="64" t="n"/>
      <c r="K293" s="64" t="n"/>
    </row>
    <row r="294" ht="16" customHeight="1" s="33">
      <c r="A294" s="61" t="inlineStr">
        <is>
          <t>追5</t>
        </is>
      </c>
      <c r="B294" s="62" t="n"/>
      <c r="C294" s="62" t="n"/>
      <c r="D294" s="62" t="n"/>
      <c r="E294" s="63" t="inlineStr">
        <is>
          <t>追加</t>
        </is>
      </c>
      <c r="F294" s="62" t="n"/>
      <c r="G294" s="62" t="n"/>
      <c r="H294" s="64" t="n"/>
      <c r="I294" s="64" t="n"/>
      <c r="J294" s="64" t="n"/>
      <c r="K294" s="64" t="n"/>
    </row>
    <row r="295" ht="16" customHeight="1" s="33">
      <c r="A295" s="61" t="inlineStr">
        <is>
          <t>追6</t>
        </is>
      </c>
      <c r="B295" s="62" t="n"/>
      <c r="C295" s="62" t="n"/>
      <c r="D295" s="62" t="n"/>
      <c r="E295" s="63" t="inlineStr">
        <is>
          <t>追加</t>
        </is>
      </c>
      <c r="F295" s="62" t="n"/>
      <c r="G295" s="62" t="n"/>
      <c r="H295" s="64" t="n"/>
      <c r="I295" s="64" t="n"/>
      <c r="J295" s="64" t="n"/>
      <c r="K295" s="64" t="n"/>
    </row>
    <row r="296" ht="16" customHeight="1" s="33">
      <c r="A296" s="61" t="inlineStr">
        <is>
          <t>追7</t>
        </is>
      </c>
      <c r="B296" s="62" t="n"/>
      <c r="C296" s="62" t="n"/>
      <c r="D296" s="62" t="n"/>
      <c r="E296" s="63" t="inlineStr">
        <is>
          <t>追加</t>
        </is>
      </c>
      <c r="F296" s="62" t="n"/>
      <c r="G296" s="62" t="n"/>
      <c r="H296" s="64" t="n"/>
      <c r="I296" s="64" t="n"/>
      <c r="J296" s="64" t="n"/>
      <c r="K296" s="64" t="n"/>
    </row>
    <row r="297" ht="16" customHeight="1" s="33">
      <c r="A297" s="61" t="inlineStr">
        <is>
          <t>追8</t>
        </is>
      </c>
      <c r="B297" s="62" t="n"/>
      <c r="C297" s="62" t="n"/>
      <c r="D297" s="62" t="n"/>
      <c r="E297" s="63" t="inlineStr">
        <is>
          <t>追加</t>
        </is>
      </c>
      <c r="F297" s="62" t="n"/>
      <c r="G297" s="62" t="n"/>
      <c r="H297" s="64" t="n"/>
      <c r="I297" s="64" t="n"/>
      <c r="J297" s="64" t="n"/>
      <c r="K297" s="64" t="n"/>
    </row>
    <row r="298" ht="16" customHeight="1" s="33">
      <c r="A298" s="61" t="inlineStr">
        <is>
          <t>追9</t>
        </is>
      </c>
      <c r="B298" s="62" t="n"/>
      <c r="C298" s="62" t="n"/>
      <c r="D298" s="62" t="n"/>
      <c r="E298" s="63" t="inlineStr">
        <is>
          <t>追加</t>
        </is>
      </c>
      <c r="F298" s="62" t="n"/>
      <c r="G298" s="62" t="n"/>
      <c r="H298" s="64" t="n"/>
      <c r="I298" s="64" t="n"/>
      <c r="J298" s="64" t="n"/>
      <c r="K298" s="64" t="n"/>
    </row>
    <row r="299" ht="16" customHeight="1" s="33">
      <c r="A299" s="61" t="inlineStr">
        <is>
          <t>追10</t>
        </is>
      </c>
      <c r="B299" s="62" t="n"/>
      <c r="C299" s="62" t="n"/>
      <c r="D299" s="62" t="n"/>
      <c r="E299" s="63" t="inlineStr">
        <is>
          <t>追加</t>
        </is>
      </c>
      <c r="F299" s="62" t="n"/>
      <c r="G299" s="62" t="n"/>
      <c r="H299" s="64" t="n"/>
      <c r="I299" s="64" t="n"/>
      <c r="J299" s="64" t="n"/>
      <c r="K299" s="64" t="n"/>
    </row>
    <row r="300" ht="16" customHeight="1" s="33">
      <c r="A300" s="58" t="n"/>
      <c r="B300" s="59" t="n"/>
      <c r="C300" s="59" t="n"/>
      <c r="D300" s="59" t="n"/>
      <c r="E300" s="58" t="n"/>
      <c r="F300" s="59" t="n"/>
      <c r="G300" s="59" t="n"/>
      <c r="H300" s="58" t="n"/>
      <c r="I300" s="58" t="n"/>
      <c r="J300" s="58" t="n"/>
      <c r="K300" s="58" t="n"/>
    </row>
    <row r="301" ht="16" customHeight="1" s="33">
      <c r="A301" s="58" t="n"/>
      <c r="B301" s="59" t="n"/>
      <c r="C301" s="59" t="n"/>
      <c r="D301" s="59" t="n"/>
      <c r="E301" s="58" t="n"/>
      <c r="F301" s="59" t="n"/>
      <c r="G301" s="59" t="n"/>
      <c r="H301" s="58" t="n"/>
      <c r="I301" s="58" t="n"/>
      <c r="J301" s="58" t="n"/>
      <c r="K301" s="58" t="n"/>
    </row>
    <row r="302" ht="16" customHeight="1" s="33">
      <c r="A302" s="65" t="inlineStr">
        <is>
          <t>【集計】</t>
        </is>
      </c>
      <c r="B302" s="59" t="n"/>
      <c r="C302" s="59" t="n"/>
      <c r="D302" s="59" t="n"/>
      <c r="E302" s="58" t="n"/>
      <c r="F302" s="59" t="n"/>
      <c r="G302" s="59" t="n"/>
      <c r="H302" s="58" t="n"/>
      <c r="I302" s="58" t="n"/>
      <c r="J302" s="58" t="n"/>
      <c r="K302" s="58" t="n"/>
    </row>
    <row r="303" ht="32" customHeight="1" s="33">
      <c r="A303" s="66" t="inlineStr">
        <is>
          <t>OK件数</t>
        </is>
      </c>
      <c r="B303" s="67">
        <f>COUNTIF(E6:E500,"OK")</f>
        <v/>
      </c>
      <c r="C303" s="59" t="n"/>
      <c r="D303" s="59" t="n"/>
      <c r="E303" s="58" t="n"/>
      <c r="F303" s="59" t="n"/>
      <c r="G303" s="59" t="n"/>
      <c r="H303" s="58" t="n"/>
      <c r="I303" s="58" t="n"/>
      <c r="J303" s="58" t="n"/>
      <c r="K303" s="58" t="n"/>
    </row>
    <row r="304" ht="32" customHeight="1" s="33">
      <c r="A304" s="66" t="inlineStr">
        <is>
          <t>NG件数</t>
        </is>
      </c>
      <c r="B304" s="67">
        <f>COUNTIF(E6:E500,"NG")</f>
        <v/>
      </c>
      <c r="C304" s="59" t="n"/>
      <c r="D304" s="59" t="n"/>
      <c r="E304" s="58" t="n"/>
      <c r="F304" s="59" t="n"/>
      <c r="G304" s="59" t="n"/>
      <c r="H304" s="58" t="n"/>
      <c r="I304" s="58" t="n"/>
      <c r="J304" s="58" t="n"/>
      <c r="K304" s="58" t="n"/>
    </row>
    <row r="305" ht="32" customHeight="1" s="33">
      <c r="A305" s="65" t="inlineStr">
        <is>
          <t>追加件数</t>
        </is>
      </c>
      <c r="B305" s="67">
        <f>COUNTIF(E6:E500,"追加")</f>
        <v/>
      </c>
      <c r="C305" s="59" t="n"/>
      <c r="D305" s="59" t="n"/>
      <c r="E305" s="58" t="n"/>
      <c r="F305" s="59" t="n"/>
      <c r="G305" s="59" t="n"/>
      <c r="H305" s="58" t="n"/>
      <c r="I305" s="58" t="n"/>
      <c r="J305" s="58" t="n"/>
      <c r="K305" s="58" t="n"/>
    </row>
    <row r="306" ht="32" customHeight="1" s="33">
      <c r="A306" s="65" t="inlineStr">
        <is>
          <t>削除件数</t>
        </is>
      </c>
      <c r="B306" s="67">
        <f>COUNTIF(E6:E500,"削除")</f>
        <v/>
      </c>
      <c r="C306" s="59" t="n"/>
      <c r="D306" s="59" t="n"/>
      <c r="E306" s="58" t="n"/>
      <c r="F306" s="59" t="n"/>
      <c r="G306" s="59" t="n"/>
      <c r="H306" s="58" t="n"/>
      <c r="I306" s="58" t="n"/>
      <c r="J306" s="58" t="n"/>
      <c r="K306" s="58" t="n"/>
    </row>
  </sheetData>
  <autoFilter ref="A5:K301"/>
  <mergeCells count="18">
    <mergeCell ref="A6:K6"/>
    <mergeCell ref="A53:K53"/>
    <mergeCell ref="A34:K34"/>
    <mergeCell ref="A20:K20"/>
    <mergeCell ref="A3:K3"/>
    <mergeCell ref="A101:K101"/>
    <mergeCell ref="A124:K124"/>
    <mergeCell ref="A140:K140"/>
    <mergeCell ref="A302:E302"/>
    <mergeCell ref="A81:K81"/>
    <mergeCell ref="A113:K113"/>
    <mergeCell ref="A2:K2"/>
    <mergeCell ref="A16:K16"/>
    <mergeCell ref="A156:K156"/>
    <mergeCell ref="A133:K133"/>
    <mergeCell ref="A66:K66"/>
    <mergeCell ref="A1:K1"/>
    <mergeCell ref="A289:K289"/>
  </mergeCells>
  <dataValidations count="2">
    <dataValidation sqref="E7:E15 E17:E19 E21:E33 E35:E52 E54:E65 E67:E80 E82:E100 E102:E112 E114:E123 E125:E132 E134:E139 E141:E155 E157:E287" showDropDown="0" showInputMessage="0" showErrorMessage="0" allowBlank="1" errorTitle="入力エラー" error="OK, NG, 追加, 削除 のいずれかを選択してください" type="list" errorStyle="stop" operator="between">
      <formula1>"OK,NG,追加,削除"</formula1>
      <formula2>0</formula2>
    </dataValidation>
    <dataValidation sqref="H7:H15 H17:H19 H21:H33 H35:H52 H54:H65 H67:H80 H82:H100 H102:H112 H114:H123 H125:H132 H134:H139 H141:H155 H157:H287 H290:H299" showDropDown="0" showInputMessage="0" showErrorMessage="0" allowBlank="1" type="list" errorStyle="stop" operator="between">
      <formula1>"高,中,低"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33483"/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32" min="1" max="1"/>
    <col width="14" customWidth="1" style="32" min="2" max="2"/>
    <col width="16" customWidth="1" style="32" min="3" max="3"/>
    <col width="14" customWidth="1" style="33" min="4" max="4"/>
    <col width="14" customWidth="1" style="33" min="5" max="5"/>
    <col width="14" customWidth="1" style="33" min="6" max="6"/>
  </cols>
  <sheetData>
    <row r="1" ht="38" customHeight="1" s="33">
      <c r="A1" s="68" t="inlineStr">
        <is>
          <t>業務要件確認サマリー — 統合データ基盤</t>
        </is>
      </c>
    </row>
    <row r="2" ht="11.9" customHeight="1" s="33">
      <c r="A2" s="35" t="inlineStr">
        <is>
          <t>対象業務項目数: 269件 | 確認期限: ____年__月__日</t>
        </is>
      </c>
    </row>
    <row r="4" ht="15" customHeight="1" s="33">
      <c r="A4" s="69" t="inlineStr">
        <is>
          <t>項目</t>
        </is>
      </c>
      <c r="B4" s="69" t="inlineStr">
        <is>
          <t>件数</t>
        </is>
      </c>
      <c r="C4" s="69" t="inlineStr">
        <is>
          <t>割合</t>
        </is>
      </c>
    </row>
    <row r="5" ht="15" customHeight="1" s="33">
      <c r="A5" s="70" t="inlineStr">
        <is>
          <t>OK（問題なし）</t>
        </is>
      </c>
      <c r="B5" s="43">
        <f>業務チェック確認!B303</f>
        <v/>
      </c>
      <c r="C5" s="43" t="n"/>
    </row>
    <row r="6" ht="15" customHeight="1" s="33">
      <c r="A6" s="70" t="inlineStr">
        <is>
          <t>NG（修正要）</t>
        </is>
      </c>
      <c r="B6" s="43">
        <f>業務チェック確認!B304</f>
        <v/>
      </c>
      <c r="C6" s="43" t="n"/>
    </row>
    <row r="7" ht="15" customHeight="1" s="33">
      <c r="A7" s="71" t="inlineStr">
        <is>
          <t>追加（新規）</t>
        </is>
      </c>
      <c r="B7" s="43">
        <f>業務チェック確認!B305</f>
        <v/>
      </c>
      <c r="C7" s="43" t="n"/>
    </row>
    <row r="8" ht="15" customHeight="1" s="33">
      <c r="A8" s="71" t="inlineStr">
        <is>
          <t>削除（不要）</t>
        </is>
      </c>
      <c r="B8" s="43">
        <f>業務チェック確認!B306</f>
        <v/>
      </c>
      <c r="C8" s="43" t="n"/>
    </row>
    <row r="9" ht="15" customHeight="1" s="33">
      <c r="A9" s="71" t="inlineStr">
        <is>
          <t>未確認</t>
        </is>
      </c>
      <c r="B9" s="43">
        <f>業務チェック確認!B307</f>
        <v/>
      </c>
      <c r="C9" s="43" t="n"/>
    </row>
    <row r="11" ht="15" customHeight="1" s="33">
      <c r="A11" s="72" t="inlineStr">
        <is>
          <t>確認完了判定</t>
        </is>
      </c>
    </row>
    <row r="12" ht="15" customHeight="1" s="33">
      <c r="A12" s="73" t="inlineStr">
        <is>
          <t>※ NG件数が0件で確認完了</t>
        </is>
      </c>
    </row>
    <row r="14" ht="15" customHeight="1" s="33">
      <c r="A14" s="72" t="inlineStr">
        <is>
          <t>【承認欄】</t>
        </is>
      </c>
    </row>
    <row r="15" ht="15" customHeight="1" s="33">
      <c r="A15" s="42" t="inlineStr">
        <is>
          <t>部門責任者</t>
        </is>
      </c>
      <c r="B15" s="74" t="inlineStr">
        <is>
          <t>氏名:</t>
        </is>
      </c>
      <c r="C15" s="75" t="n"/>
      <c r="D15" s="74" t="inlineStr">
        <is>
          <t>日付:</t>
        </is>
      </c>
      <c r="E15" s="75" t="n"/>
    </row>
    <row r="16" ht="15" customHeight="1" s="33">
      <c r="A16" s="46" t="inlineStr">
        <is>
          <t>DX推進担当</t>
        </is>
      </c>
      <c r="B16" s="74" t="inlineStr">
        <is>
          <t>氏名:</t>
        </is>
      </c>
      <c r="C16" s="75" t="n"/>
      <c r="D16" s="74" t="inlineStr">
        <is>
          <t>日付:</t>
        </is>
      </c>
      <c r="E16" s="75" t="n"/>
    </row>
    <row r="17" ht="15" customHeight="1" s="33">
      <c r="A17" s="46" t="inlineStr">
        <is>
          <t>IT-DX部門</t>
        </is>
      </c>
      <c r="B17" s="74" t="inlineStr">
        <is>
          <t>氏名:</t>
        </is>
      </c>
      <c r="C17" s="75" t="n"/>
      <c r="D17" s="74" t="inlineStr">
        <is>
          <t>日付:</t>
        </is>
      </c>
      <c r="E17" s="75" t="n"/>
    </row>
  </sheetData>
  <mergeCells count="3">
    <mergeCell ref="A2:F2"/>
    <mergeCell ref="A14:F14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2026-05-16T01:02:09Z</dcterms:created>
  <dcterms:modified xmlns:dcterms="http://purl.org/dc/terms/" xmlns:xsi="http://www.w3.org/2001/XMLSchema-instance" xsi:type="dcterms:W3CDTF">2026-05-16T01:30:14Z</dcterms:modified>
  <cp:revision>0</cp:revision>
</cp:coreProperties>
</file>