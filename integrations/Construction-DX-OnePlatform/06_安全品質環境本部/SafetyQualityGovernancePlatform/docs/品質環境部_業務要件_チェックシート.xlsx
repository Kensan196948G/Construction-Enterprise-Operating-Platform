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'業務内容一覧'!$A$4:$G$95</definedName>
    <definedName name="_xlnm._FilterDatabase" localSheetId="1" hidden="1">'業務チェック確認'!$A$5:$K$110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Meiryo"/>
      <charset val="1"/>
      <family val="0"/>
      <b val="1"/>
      <color rgb="FF16213E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2" fillId="3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2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12" fillId="3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1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9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2" customWidth="1" style="32" min="2" max="2"/>
    <col width="24" customWidth="1" style="32" min="3" max="3"/>
    <col width="22" customWidth="1" style="32" min="4" max="4"/>
    <col width="65" customWidth="1" style="32" min="5" max="5"/>
    <col width="12" customWidth="1" style="32" min="6" max="6"/>
    <col width="24" customWidth="1" style="32" min="7" max="7"/>
  </cols>
  <sheetData>
    <row r="1" ht="38" customHeight="1" s="33">
      <c r="A1" s="34" t="inlineStr">
        <is>
          <t>業務要件書 — 品質環境部</t>
        </is>
      </c>
    </row>
    <row r="2" ht="22" customHeight="1" s="33">
      <c r="A2" s="35" t="inlineStr">
        <is>
          <t>文書: 品質環境部 業務要件書 | みらい建設工業 統合建設DX基盤 | 作成日: 2026-05-16</t>
        </is>
      </c>
    </row>
    <row r="4" ht="15" customHeight="1" s="33">
      <c r="A4" s="36" t="inlineStr">
        <is>
          <t>No.</t>
        </is>
      </c>
      <c r="B4" s="37" t="inlineStr">
        <is>
          <t>大分類</t>
        </is>
      </c>
      <c r="C4" s="37" t="inlineStr">
        <is>
          <t>中分類</t>
        </is>
      </c>
      <c r="D4" s="37" t="inlineStr">
        <is>
          <t>小分類</t>
        </is>
      </c>
      <c r="E4" s="37" t="inlineStr">
        <is>
          <t>業務項目・内容</t>
        </is>
      </c>
      <c r="F4" s="37" t="inlineStr">
        <is>
          <t>優先度</t>
        </is>
      </c>
      <c r="G4" s="37" t="inlineStr">
        <is>
          <t>備考</t>
        </is>
      </c>
    </row>
    <row r="5" ht="16" customHeight="1" s="33">
      <c r="A5" s="38" t="inlineStr">
        <is>
          <t>■ 部署概要</t>
        </is>
      </c>
      <c r="B5" s="39" t="n"/>
      <c r="C5" s="39" t="n"/>
      <c r="D5" s="39" t="n"/>
      <c r="E5" s="39" t="n"/>
      <c r="F5" s="39" t="n"/>
      <c r="G5" s="39" t="n"/>
    </row>
    <row r="6" ht="16" customHeight="1" s="33">
      <c r="A6" s="40" t="n">
        <v>1</v>
      </c>
      <c r="B6" s="41" t="inlineStr">
        <is>
          <t>部署概要</t>
        </is>
      </c>
      <c r="C6" s="41" t="inlineStr">
        <is>
          <t>部署ミッション</t>
        </is>
      </c>
      <c r="D6" s="42" t="n"/>
      <c r="E6" s="43" t="inlineStr">
        <is>
          <t>ISO9001品質マネジメントシステムの運用・維持・改善</t>
        </is>
      </c>
      <c r="F6" s="44" t="n"/>
      <c r="G6" s="42" t="n"/>
    </row>
    <row r="7" ht="16" customHeight="1" s="33">
      <c r="A7" s="40" t="n">
        <v>2</v>
      </c>
      <c r="B7" s="41" t="inlineStr">
        <is>
          <t>部署概要</t>
        </is>
      </c>
      <c r="C7" s="41" t="inlineStr">
        <is>
          <t>部署ミッション</t>
        </is>
      </c>
      <c r="D7" s="42" t="n"/>
      <c r="E7" s="43" t="inlineStr">
        <is>
          <t>ISO14001環境マネジメントシステムの運用・維持・改善</t>
        </is>
      </c>
      <c r="F7" s="44" t="n"/>
      <c r="G7" s="42" t="n"/>
    </row>
    <row r="8" ht="16" customHeight="1" s="33">
      <c r="A8" s="40" t="n">
        <v>3</v>
      </c>
      <c r="B8" s="41" t="inlineStr">
        <is>
          <t>部署概要</t>
        </is>
      </c>
      <c r="C8" s="41" t="inlineStr">
        <is>
          <t>部署ミッション</t>
        </is>
      </c>
      <c r="D8" s="42" t="n"/>
      <c r="E8" s="41" t="inlineStr">
        <is>
          <t>施工品質の管理基準の策定・監視</t>
        </is>
      </c>
      <c r="F8" s="44" t="n"/>
      <c r="G8" s="42" t="n"/>
    </row>
    <row r="9" ht="16" customHeight="1" s="33">
      <c r="A9" s="40" t="n">
        <v>4</v>
      </c>
      <c r="B9" s="41" t="inlineStr">
        <is>
          <t>部署概要</t>
        </is>
      </c>
      <c r="C9" s="41" t="inlineStr">
        <is>
          <t>部署ミッション</t>
        </is>
      </c>
      <c r="D9" s="42" t="n"/>
      <c r="E9" s="41" t="inlineStr">
        <is>
          <t>環境負荷の低減（CO2排出量削減・産廃管理）</t>
        </is>
      </c>
      <c r="F9" s="44" t="n"/>
      <c r="G9" s="42" t="n"/>
    </row>
    <row r="10" ht="16" customHeight="1" s="33">
      <c r="A10" s="40" t="n">
        <v>5</v>
      </c>
      <c r="B10" s="41" t="inlineStr">
        <is>
          <t>部署概要</t>
        </is>
      </c>
      <c r="C10" s="41" t="inlineStr">
        <is>
          <t>部署ミッション</t>
        </is>
      </c>
      <c r="D10" s="42" t="n"/>
      <c r="E10" s="43" t="inlineStr">
        <is>
          <t>SBTi目標に基づくカーボンニュートラル推進</t>
        </is>
      </c>
      <c r="F10" s="44" t="n"/>
      <c r="G10" s="42" t="n"/>
    </row>
    <row r="11" ht="32" customHeight="1" s="33">
      <c r="A11" s="38" t="inlineStr">
        <is>
          <t>■ 業務要件（詳細）</t>
        </is>
      </c>
      <c r="B11" s="39" t="n"/>
      <c r="C11" s="39" t="n"/>
      <c r="D11" s="39" t="n"/>
      <c r="E11" s="39" t="n"/>
      <c r="F11" s="39" t="n"/>
      <c r="G11" s="39" t="n"/>
    </row>
    <row r="12" ht="16" customHeight="1" s="33">
      <c r="A12" s="40" t="n">
        <v>6</v>
      </c>
      <c r="B12" s="41" t="inlineStr">
        <is>
          <t>業務要件（詳細）</t>
        </is>
      </c>
      <c r="C12" s="41" t="inlineStr">
        <is>
          <t>品質記録管理</t>
        </is>
      </c>
      <c r="D12" s="41" t="inlineStr">
        <is>
          <t>品質基準管理</t>
        </is>
      </c>
      <c r="E12" s="41" t="inlineStr">
        <is>
          <t>国交省土木工事共通仕様書の品質基準のDB管理</t>
        </is>
      </c>
      <c r="F12" s="44" t="n"/>
      <c r="G12" s="42" t="n"/>
    </row>
    <row r="13" ht="16" customHeight="1" s="33">
      <c r="A13" s="40" t="n">
        <v>7</v>
      </c>
      <c r="B13" s="41" t="inlineStr">
        <is>
          <t>業務要件（詳細）</t>
        </is>
      </c>
      <c r="C13" s="41" t="inlineStr">
        <is>
          <t>品質記録管理</t>
        </is>
      </c>
      <c r="D13" s="41" t="inlineStr">
        <is>
          <t>品質基準管理</t>
        </is>
      </c>
      <c r="E13" s="41" t="inlineStr">
        <is>
          <t>工種別の品質管理項目・規格値・試験方法の一覧管理</t>
        </is>
      </c>
      <c r="F13" s="44" t="n"/>
      <c r="G13" s="42" t="n"/>
    </row>
    <row r="14" ht="16" customHeight="1" s="33">
      <c r="A14" s="40" t="n">
        <v>8</v>
      </c>
      <c r="B14" s="41" t="inlineStr">
        <is>
          <t>業務要件（詳細）</t>
        </is>
      </c>
      <c r="C14" s="41" t="inlineStr">
        <is>
          <t>品質記録管理</t>
        </is>
      </c>
      <c r="D14" s="41" t="inlineStr">
        <is>
          <t>品質基準管理</t>
        </is>
      </c>
      <c r="E14" s="41" t="inlineStr">
        <is>
          <t>規格値逸脱時のアラートと是正処置フロー</t>
        </is>
      </c>
      <c r="F14" s="44" t="n"/>
      <c r="G14" s="42" t="n"/>
    </row>
    <row r="15" ht="16" customHeight="1" s="33">
      <c r="A15" s="40" t="n">
        <v>9</v>
      </c>
      <c r="B15" s="41" t="inlineStr">
        <is>
          <t>業務要件（詳細）</t>
        </is>
      </c>
      <c r="C15" s="43" t="inlineStr">
        <is>
          <t>ISO監査管理</t>
        </is>
      </c>
      <c r="D15" s="41" t="inlineStr">
        <is>
          <t>内部監査管理要件</t>
        </is>
      </c>
      <c r="E15" s="41" t="inlineStr">
        <is>
          <t>年間監査計画の作成・管理</t>
        </is>
      </c>
      <c r="F15" s="44" t="n"/>
      <c r="G15" s="45" t="n"/>
    </row>
    <row r="16" ht="16" customHeight="1" s="33">
      <c r="A16" s="40" t="n">
        <v>10</v>
      </c>
      <c r="B16" s="41" t="inlineStr">
        <is>
          <t>業務要件（詳細）</t>
        </is>
      </c>
      <c r="C16" s="43" t="inlineStr">
        <is>
          <t>ISO監査管理</t>
        </is>
      </c>
      <c r="D16" s="41" t="inlineStr">
        <is>
          <t>内部監査管理要件</t>
        </is>
      </c>
      <c r="E16" s="41" t="inlineStr">
        <is>
          <t>監査チェックリストのテンプレート管理</t>
        </is>
      </c>
      <c r="F16" s="44" t="n"/>
      <c r="G16" s="45" t="n"/>
    </row>
    <row r="17" ht="16" customHeight="1" s="33">
      <c r="A17" s="40" t="n">
        <v>11</v>
      </c>
      <c r="B17" s="41" t="inlineStr">
        <is>
          <t>業務要件（詳細）</t>
        </is>
      </c>
      <c r="C17" s="43" t="inlineStr">
        <is>
          <t>ISO監査管理</t>
        </is>
      </c>
      <c r="D17" s="41" t="inlineStr">
        <is>
          <t>内部監査管理要件</t>
        </is>
      </c>
      <c r="E17" s="41" t="inlineStr">
        <is>
          <t>監査所見の記録（不適合/観察事項/改善の機会）</t>
        </is>
      </c>
      <c r="F17" s="44" t="n"/>
      <c r="G17" s="45" t="n"/>
    </row>
    <row r="18" ht="16" customHeight="1" s="33">
      <c r="A18" s="40" t="n">
        <v>12</v>
      </c>
      <c r="B18" s="41" t="inlineStr">
        <is>
          <t>業務要件（詳細）</t>
        </is>
      </c>
      <c r="C18" s="43" t="inlineStr">
        <is>
          <t>ISO監査管理</t>
        </is>
      </c>
      <c r="D18" s="41" t="inlineStr">
        <is>
          <t>内部監査管理要件</t>
        </is>
      </c>
      <c r="E18" s="41" t="inlineStr">
        <is>
          <t>是正処置要求書（CAR）の発行・追跡</t>
        </is>
      </c>
      <c r="F18" s="44" t="n"/>
      <c r="G18" s="45" t="n"/>
    </row>
    <row r="19" ht="16" customHeight="1" s="33">
      <c r="A19" s="40" t="n">
        <v>13</v>
      </c>
      <c r="B19" s="41" t="inlineStr">
        <is>
          <t>業務要件（詳細）</t>
        </is>
      </c>
      <c r="C19" s="43" t="inlineStr">
        <is>
          <t>ISO監査管理</t>
        </is>
      </c>
      <c r="D19" s="41" t="inlineStr">
        <is>
          <t>内部監査管理要件</t>
        </is>
      </c>
      <c r="E19" s="41" t="inlineStr">
        <is>
          <t>監査証拠の管理（文書・記録・インタビュー記録）</t>
        </is>
      </c>
      <c r="F19" s="44" t="n"/>
      <c r="G19" s="45" t="n"/>
    </row>
    <row r="20" ht="16" customHeight="1" s="33">
      <c r="A20" s="40" t="n">
        <v>14</v>
      </c>
      <c r="B20" s="41" t="inlineStr">
        <is>
          <t>業務要件（詳細）</t>
        </is>
      </c>
      <c r="C20" s="43" t="inlineStr">
        <is>
          <t>ISO監査管理</t>
        </is>
      </c>
      <c r="D20" s="41" t="inlineStr">
        <is>
          <t>内部監査管理要件</t>
        </is>
      </c>
      <c r="E20" s="41" t="inlineStr">
        <is>
          <t>内部監査員の資格管理・力量評価</t>
        </is>
      </c>
      <c r="F20" s="44" t="n"/>
      <c r="G20" s="45" t="n"/>
    </row>
    <row r="21" ht="16" customHeight="1" s="33">
      <c r="A21" s="40" t="n">
        <v>15</v>
      </c>
      <c r="B21" s="41" t="inlineStr">
        <is>
          <t>業務要件（詳細）</t>
        </is>
      </c>
      <c r="C21" s="43" t="inlineStr">
        <is>
          <t>ISO監査管理</t>
        </is>
      </c>
      <c r="D21" s="41" t="inlineStr">
        <is>
          <t>マネジメントレビュー支援</t>
        </is>
      </c>
      <c r="E21" s="41" t="inlineStr">
        <is>
          <t>マネジメントレビューのインプット資料自動集計</t>
        </is>
      </c>
      <c r="F21" s="44" t="n"/>
      <c r="G21" s="45" t="n"/>
    </row>
    <row r="22" ht="16" customHeight="1" s="33">
      <c r="A22" s="40" t="n">
        <v>16</v>
      </c>
      <c r="B22" s="41" t="inlineStr">
        <is>
          <t>業務要件（詳細）</t>
        </is>
      </c>
      <c r="C22" s="43" t="inlineStr">
        <is>
          <t>ISO監査管理</t>
        </is>
      </c>
      <c r="D22" s="41" t="inlineStr">
        <is>
          <t>マネジメントレビュー支援</t>
        </is>
      </c>
      <c r="E22" s="41" t="inlineStr">
        <is>
          <t>レビュー結果（アウトプット）の記録・追跡</t>
        </is>
      </c>
      <c r="F22" s="44" t="n"/>
      <c r="G22" s="45" t="n"/>
    </row>
    <row r="23" ht="16" customHeight="1" s="33">
      <c r="A23" s="40" t="n">
        <v>17</v>
      </c>
      <c r="B23" s="41" t="inlineStr">
        <is>
          <t>業務要件（詳細）</t>
        </is>
      </c>
      <c r="C23" s="41" t="inlineStr">
        <is>
          <t>環境管理</t>
        </is>
      </c>
      <c r="D23" s="43" t="inlineStr">
        <is>
          <t>CO2排出量管理</t>
        </is>
      </c>
      <c r="E23" s="41" t="inlineStr">
        <is>
          <t>環境省「温室効果ガス排出量算定・報告マニュアル」準拠</t>
        </is>
      </c>
      <c r="F23" s="44" t="n"/>
      <c r="G23" s="45" t="n"/>
    </row>
    <row r="24" ht="16" customHeight="1" s="33">
      <c r="A24" s="40" t="n">
        <v>18</v>
      </c>
      <c r="B24" s="41" t="inlineStr">
        <is>
          <t>業務要件（詳細）</t>
        </is>
      </c>
      <c r="C24" s="41" t="inlineStr">
        <is>
          <t>環境管理</t>
        </is>
      </c>
      <c r="D24" s="43" t="inlineStr">
        <is>
          <t>CO2排出量管理</t>
        </is>
      </c>
      <c r="E24" s="41" t="inlineStr">
        <is>
          <t>排出係数の管理（年度別・エネルギー種別）</t>
        </is>
      </c>
      <c r="F24" s="44" t="n"/>
      <c r="G24" s="45" t="n"/>
    </row>
    <row r="25" ht="16" customHeight="1" s="33">
      <c r="A25" s="40" t="n">
        <v>19</v>
      </c>
      <c r="B25" s="41" t="inlineStr">
        <is>
          <t>業務要件（詳細）</t>
        </is>
      </c>
      <c r="C25" s="41" t="inlineStr">
        <is>
          <t>環境管理</t>
        </is>
      </c>
      <c r="D25" s="43" t="inlineStr">
        <is>
          <t>CO2排出量管理</t>
        </is>
      </c>
      <c r="E25" s="41" t="inlineStr">
        <is>
          <t>月次集計・年次報告の自動生成</t>
        </is>
      </c>
      <c r="F25" s="44" t="n"/>
      <c r="G25" s="45" t="n"/>
    </row>
    <row r="26" ht="16" customHeight="1" s="33">
      <c r="A26" s="40" t="n">
        <v>20</v>
      </c>
      <c r="B26" s="41" t="inlineStr">
        <is>
          <t>業務要件（詳細）</t>
        </is>
      </c>
      <c r="C26" s="41" t="inlineStr">
        <is>
          <t>環境管理</t>
        </is>
      </c>
      <c r="D26" s="43" t="inlineStr">
        <is>
          <t>CO2排出量管理</t>
        </is>
      </c>
      <c r="E26" s="43" t="inlineStr">
        <is>
          <t>SBTi目標に対する進捗率表示</t>
        </is>
      </c>
      <c r="F26" s="44" t="n"/>
      <c r="G26" s="45" t="n"/>
    </row>
    <row r="27" ht="16" customHeight="1" s="33">
      <c r="A27" s="40" t="n">
        <v>21</v>
      </c>
      <c r="B27" s="41" t="inlineStr">
        <is>
          <t>業務要件（詳細）</t>
        </is>
      </c>
      <c r="C27" s="41" t="inlineStr">
        <is>
          <t>環境管理</t>
        </is>
      </c>
      <c r="D27" s="43" t="inlineStr">
        <is>
          <t>CO2排出量管理</t>
        </is>
      </c>
      <c r="E27" s="41" t="inlineStr">
        <is>
          <t>エコ・ファーストの約束に基づく目標管理</t>
        </is>
      </c>
      <c r="F27" s="44" t="n"/>
      <c r="G27" s="45" t="n"/>
    </row>
    <row r="28" ht="16" customHeight="1" s="33">
      <c r="A28" s="40" t="n">
        <v>22</v>
      </c>
      <c r="B28" s="41" t="inlineStr">
        <is>
          <t>業務要件（詳細）</t>
        </is>
      </c>
      <c r="C28" s="41" t="inlineStr">
        <is>
          <t>環境管理</t>
        </is>
      </c>
      <c r="D28" s="41" t="inlineStr">
        <is>
          <t>産業廃棄物管理</t>
        </is>
      </c>
      <c r="E28" s="43" t="inlineStr">
        <is>
          <t>JWNET（日本産業廃棄物処理振興センター）との連携</t>
        </is>
      </c>
      <c r="F28" s="44" t="n"/>
      <c r="G28" s="45" t="n"/>
    </row>
    <row r="29" ht="16" customHeight="1" s="33">
      <c r="A29" s="40" t="n">
        <v>23</v>
      </c>
      <c r="B29" s="41" t="inlineStr">
        <is>
          <t>業務要件（詳細）</t>
        </is>
      </c>
      <c r="C29" s="41" t="inlineStr">
        <is>
          <t>環境管理</t>
        </is>
      </c>
      <c r="D29" s="41" t="inlineStr">
        <is>
          <t>産業廃棄物管理</t>
        </is>
      </c>
      <c r="E29" s="41" t="inlineStr">
        <is>
          <t>電子マニフェストの登録・確認・報告</t>
        </is>
      </c>
      <c r="F29" s="44" t="n"/>
      <c r="G29" s="45" t="n"/>
    </row>
    <row r="30" ht="16" customHeight="1" s="33">
      <c r="A30" s="40" t="n">
        <v>24</v>
      </c>
      <c r="B30" s="41" t="inlineStr">
        <is>
          <t>業務要件（詳細）</t>
        </is>
      </c>
      <c r="C30" s="41" t="inlineStr">
        <is>
          <t>環境管理</t>
        </is>
      </c>
      <c r="D30" s="41" t="inlineStr">
        <is>
          <t>産業廃棄物管理</t>
        </is>
      </c>
      <c r="E30" s="41" t="inlineStr">
        <is>
          <t>返送期限の管理とアラート</t>
        </is>
      </c>
      <c r="F30" s="44" t="n"/>
      <c r="G30" s="45" t="n"/>
    </row>
    <row r="31" ht="16" customHeight="1" s="33">
      <c r="A31" s="40" t="n">
        <v>25</v>
      </c>
      <c r="B31" s="41" t="inlineStr">
        <is>
          <t>業務要件（詳細）</t>
        </is>
      </c>
      <c r="C31" s="41" t="inlineStr">
        <is>
          <t>環境管理</t>
        </is>
      </c>
      <c r="D31" s="41" t="inlineStr">
        <is>
          <t>産業廃棄物管理</t>
        </is>
      </c>
      <c r="E31" s="41" t="inlineStr">
        <is>
          <t>年次報告書の自動生成</t>
        </is>
      </c>
      <c r="F31" s="44" t="n"/>
      <c r="G31" s="45" t="n"/>
    </row>
    <row r="32" ht="16" customHeight="1" s="33">
      <c r="A32" s="40" t="n">
        <v>26</v>
      </c>
      <c r="B32" s="41" t="inlineStr">
        <is>
          <t>業務要件（詳細）</t>
        </is>
      </c>
      <c r="C32" s="41" t="inlineStr">
        <is>
          <t>環境管理</t>
        </is>
      </c>
      <c r="D32" s="41" t="inlineStr">
        <is>
          <t>その他環境管理</t>
        </is>
      </c>
      <c r="E32" s="41" t="inlineStr">
        <is>
          <t>騒音・振動の測定記録管理</t>
        </is>
      </c>
      <c r="F32" s="44" t="n"/>
      <c r="G32" s="45" t="n"/>
    </row>
    <row r="33" ht="16" customHeight="1" s="33">
      <c r="A33" s="40" t="n">
        <v>27</v>
      </c>
      <c r="B33" s="41" t="inlineStr">
        <is>
          <t>業務要件（詳細）</t>
        </is>
      </c>
      <c r="C33" s="41" t="inlineStr">
        <is>
          <t>環境管理</t>
        </is>
      </c>
      <c r="D33" s="41" t="inlineStr">
        <is>
          <t>その他環境管理</t>
        </is>
      </c>
      <c r="E33" s="41" t="inlineStr">
        <is>
          <t>水質汚濁防止の記録管理</t>
        </is>
      </c>
      <c r="F33" s="44" t="n"/>
      <c r="G33" s="45" t="n"/>
    </row>
    <row r="34" ht="16" customHeight="1" s="33">
      <c r="A34" s="40" t="n">
        <v>28</v>
      </c>
      <c r="B34" s="41" t="inlineStr">
        <is>
          <t>業務要件（詳細）</t>
        </is>
      </c>
      <c r="C34" s="41" t="inlineStr">
        <is>
          <t>環境管理</t>
        </is>
      </c>
      <c r="D34" s="41" t="inlineStr">
        <is>
          <t>その他環境管理</t>
        </is>
      </c>
      <c r="E34" s="41" t="inlineStr">
        <is>
          <t>特定建設資材のリサイクル管理（建設リサイクル法）</t>
        </is>
      </c>
      <c r="F34" s="44" t="n"/>
      <c r="G34" s="45" t="n"/>
    </row>
    <row r="35" ht="16" customHeight="1" s="33">
      <c r="A35" s="40" t="n">
        <v>29</v>
      </c>
      <c r="B35" s="41" t="inlineStr">
        <is>
          <t>業務要件（詳細）</t>
        </is>
      </c>
      <c r="C35" s="41" t="inlineStr">
        <is>
          <t>環境管理</t>
        </is>
      </c>
      <c r="D35" s="41" t="inlineStr">
        <is>
          <t>その他環境管理</t>
        </is>
      </c>
      <c r="E35" s="41" t="inlineStr">
        <is>
          <t>グリーン購入の実績管理</t>
        </is>
      </c>
      <c r="F35" s="44" t="n"/>
      <c r="G35" s="45" t="n"/>
    </row>
    <row r="36" ht="16" customHeight="1" s="33">
      <c r="A36" s="40" t="n">
        <v>30</v>
      </c>
      <c r="B36" s="41" t="inlineStr">
        <is>
          <t>業務要件（詳細）</t>
        </is>
      </c>
      <c r="C36" s="41" t="inlineStr">
        <is>
          <t>環境管理</t>
        </is>
      </c>
      <c r="D36" s="41" t="inlineStr">
        <is>
          <t>その他環境管理</t>
        </is>
      </c>
      <c r="E36" s="41" t="inlineStr">
        <is>
          <t>環境影響評価書の管理</t>
        </is>
      </c>
      <c r="F36" s="44" t="n"/>
      <c r="G36" s="45" t="n"/>
    </row>
    <row r="37" ht="32" customHeight="1" s="33">
      <c r="A37" s="40" t="n">
        <v>31</v>
      </c>
      <c r="B37" s="41" t="inlineStr">
        <is>
          <t>業務要件（詳細）</t>
        </is>
      </c>
      <c r="C37" s="41" t="inlineStr">
        <is>
          <t>是正処置・予防処置（CAPA）管理</t>
        </is>
      </c>
      <c r="D37" s="41" t="inlineStr">
        <is>
          <t>統計分析</t>
        </is>
      </c>
      <c r="E37" s="43" t="inlineStr">
        <is>
          <t>CAPA件数の推移（月次・年次）</t>
        </is>
      </c>
      <c r="F37" s="44" t="n"/>
      <c r="G37" s="45" t="n"/>
    </row>
    <row r="38" ht="32" customHeight="1" s="33">
      <c r="A38" s="40" t="n">
        <v>32</v>
      </c>
      <c r="B38" s="41" t="inlineStr">
        <is>
          <t>業務要件（詳細）</t>
        </is>
      </c>
      <c r="C38" s="41" t="inlineStr">
        <is>
          <t>是正処置・予防処置（CAPA）管理</t>
        </is>
      </c>
      <c r="D38" s="41" t="inlineStr">
        <is>
          <t>統計分析</t>
        </is>
      </c>
      <c r="E38" s="41" t="inlineStr">
        <is>
          <t>発生源別の件数分析</t>
        </is>
      </c>
      <c r="F38" s="44" t="n"/>
      <c r="G38" s="45" t="n"/>
    </row>
    <row r="39" ht="32" customHeight="1" s="33">
      <c r="A39" s="40" t="n">
        <v>33</v>
      </c>
      <c r="B39" s="41" t="inlineStr">
        <is>
          <t>業務要件（詳細）</t>
        </is>
      </c>
      <c r="C39" s="41" t="inlineStr">
        <is>
          <t>是正処置・予防処置（CAPA）管理</t>
        </is>
      </c>
      <c r="D39" s="41" t="inlineStr">
        <is>
          <t>統計分析</t>
        </is>
      </c>
      <c r="E39" s="41" t="inlineStr">
        <is>
          <t>期限内完了率の管理（目標：90%以上）</t>
        </is>
      </c>
      <c r="F39" s="44" t="n"/>
      <c r="G39" s="45" t="n"/>
    </row>
    <row r="40" ht="32" customHeight="1" s="33">
      <c r="A40" s="40" t="n">
        <v>34</v>
      </c>
      <c r="B40" s="41" t="inlineStr">
        <is>
          <t>業務要件（詳細）</t>
        </is>
      </c>
      <c r="C40" s="41" t="inlineStr">
        <is>
          <t>是正処置・予防処置（CAPA）管理</t>
        </is>
      </c>
      <c r="D40" s="41" t="inlineStr">
        <is>
          <t>統計分析</t>
        </is>
      </c>
      <c r="E40" s="41" t="inlineStr">
        <is>
          <t>根本原因のパレート分析</t>
        </is>
      </c>
      <c r="F40" s="44" t="n"/>
      <c r="G40" s="45" t="n"/>
    </row>
    <row r="41" ht="32" customHeight="1" s="33">
      <c r="A41" s="40" t="n">
        <v>35</v>
      </c>
      <c r="B41" s="41" t="inlineStr">
        <is>
          <t>業務要件（詳細）</t>
        </is>
      </c>
      <c r="C41" s="41" t="inlineStr">
        <is>
          <t>是正処置・予防処置（CAPA）管理</t>
        </is>
      </c>
      <c r="D41" s="41" t="inlineStr">
        <is>
          <t>統計分析</t>
        </is>
      </c>
      <c r="E41" s="41" t="inlineStr">
        <is>
          <t>再発率の管理</t>
        </is>
      </c>
      <c r="F41" s="44" t="n"/>
      <c r="G41" s="45" t="n"/>
    </row>
    <row r="42" ht="32" customHeight="1" s="33">
      <c r="A42" s="46" t="inlineStr">
        <is>
          <t>■ PPE（個人保護具）管理</t>
        </is>
      </c>
      <c r="B42" s="39" t="n"/>
      <c r="C42" s="39" t="n"/>
      <c r="D42" s="39" t="n"/>
      <c r="E42" s="39" t="n"/>
      <c r="F42" s="39" t="n"/>
      <c r="G42" s="39" t="n"/>
    </row>
    <row r="43" ht="16" customHeight="1" s="33">
      <c r="A43" s="40" t="n">
        <v>36</v>
      </c>
      <c r="B43" s="43" t="inlineStr">
        <is>
          <t>PPE（個人保護具）管理</t>
        </is>
      </c>
      <c r="C43" s="41" t="inlineStr">
        <is>
          <t>アラート</t>
        </is>
      </c>
      <c r="D43" s="45" t="n"/>
      <c r="E43" s="41" t="inlineStr">
        <is>
          <t>有効期限切れの1ヶ月前に自動通知</t>
        </is>
      </c>
      <c r="F43" s="44" t="n"/>
      <c r="G43" s="45" t="n"/>
    </row>
    <row r="44" ht="16" customHeight="1" s="33">
      <c r="A44" s="40" t="n">
        <v>37</v>
      </c>
      <c r="B44" s="43" t="inlineStr">
        <is>
          <t>PPE（個人保護具）管理</t>
        </is>
      </c>
      <c r="C44" s="41" t="inlineStr">
        <is>
          <t>アラート</t>
        </is>
      </c>
      <c r="D44" s="45" t="n"/>
      <c r="E44" s="41" t="inlineStr">
        <is>
          <t>未支給者の検知（新規入場者への支給漏れ防止）</t>
        </is>
      </c>
      <c r="F44" s="44" t="n"/>
      <c r="G44" s="45" t="n"/>
    </row>
    <row r="45" ht="16" customHeight="1" s="33">
      <c r="A45" s="40" t="n">
        <v>38</v>
      </c>
      <c r="B45" s="43" t="inlineStr">
        <is>
          <t>PPE（個人保護具）管理</t>
        </is>
      </c>
      <c r="C45" s="41" t="inlineStr">
        <is>
          <t>アラート</t>
        </is>
      </c>
      <c r="D45" s="45" t="n"/>
      <c r="E45" s="41" t="inlineStr">
        <is>
          <t>項目:文書ID | 内容:BIZ-HIN-001</t>
        </is>
      </c>
      <c r="F45" s="44" t="n"/>
      <c r="G45" s="45" t="n"/>
    </row>
    <row r="46" ht="16" customHeight="1" s="33">
      <c r="A46" s="40" t="n">
        <v>39</v>
      </c>
      <c r="B46" s="43" t="inlineStr">
        <is>
          <t>PPE（個人保護具）管理</t>
        </is>
      </c>
      <c r="C46" s="41" t="inlineStr">
        <is>
          <t>アラート</t>
        </is>
      </c>
      <c r="D46" s="45" t="n"/>
      <c r="E46" s="41" t="inlineStr">
        <is>
          <t>項目:版数 | 内容:1.0</t>
        </is>
      </c>
      <c r="F46" s="44" t="n"/>
      <c r="G46" s="45" t="n"/>
    </row>
    <row r="47" ht="16" customHeight="1" s="33">
      <c r="A47" s="40" t="n">
        <v>40</v>
      </c>
      <c r="B47" s="43" t="inlineStr">
        <is>
          <t>PPE（個人保護具）管理</t>
        </is>
      </c>
      <c r="C47" s="41" t="inlineStr">
        <is>
          <t>アラート</t>
        </is>
      </c>
      <c r="D47" s="45" t="n"/>
      <c r="E47" s="41" t="inlineStr">
        <is>
          <t>項目:作成日 | 内容:2026年5月16日</t>
        </is>
      </c>
      <c r="F47" s="44" t="n"/>
      <c r="G47" s="45" t="n"/>
    </row>
    <row r="48" ht="16" customHeight="1" s="33">
      <c r="A48" s="40" t="n">
        <v>41</v>
      </c>
      <c r="B48" s="43" t="inlineStr">
        <is>
          <t>PPE（個人保護具）管理</t>
        </is>
      </c>
      <c r="C48" s="41" t="inlineStr">
        <is>
          <t>アラート</t>
        </is>
      </c>
      <c r="D48" s="45" t="n"/>
      <c r="E48" s="41" t="inlineStr">
        <is>
          <t>項目:対象部署 | 内容:安全品質環境本部 品質環境部</t>
        </is>
      </c>
      <c r="F48" s="44" t="n"/>
      <c r="G48" s="45" t="n"/>
    </row>
    <row r="49" ht="32" customHeight="1" s="33">
      <c r="A49" s="40" t="n">
        <v>42</v>
      </c>
      <c r="B49" s="43" t="inlineStr">
        <is>
          <t>PPE（個人保護具）管理</t>
        </is>
      </c>
      <c r="C49" s="41" t="inlineStr">
        <is>
          <t>アラート</t>
        </is>
      </c>
      <c r="D49" s="45" t="n"/>
      <c r="E49" s="41" t="inlineStr">
        <is>
          <t>項目:対象システム | 内容:Safety &amp; Quality Governance Platform</t>
        </is>
      </c>
      <c r="F49" s="44" t="n"/>
      <c r="G49" s="45" t="n"/>
    </row>
    <row r="50" ht="16" customHeight="1" s="33">
      <c r="A50" s="40" t="n">
        <v>43</v>
      </c>
      <c r="B50" s="43" t="inlineStr">
        <is>
          <t>PPE（個人保護具）管理</t>
        </is>
      </c>
      <c r="C50" s="41" t="inlineStr">
        <is>
          <t>アラート</t>
        </is>
      </c>
      <c r="D50" s="45" t="n"/>
      <c r="E50" s="41" t="inlineStr">
        <is>
          <t>記録種別:材料試験成績書 | 作成部署:施工本部 | 保管期間:工事完了後10年</t>
        </is>
      </c>
      <c r="F50" s="44" t="n"/>
      <c r="G50" s="45" t="n"/>
    </row>
    <row r="51" ht="16" customHeight="1" s="33">
      <c r="A51" s="40" t="n">
        <v>44</v>
      </c>
      <c r="B51" s="43" t="inlineStr">
        <is>
          <t>PPE（個人保護具）管理</t>
        </is>
      </c>
      <c r="C51" s="41" t="inlineStr">
        <is>
          <t>アラート</t>
        </is>
      </c>
      <c r="D51" s="45" t="n"/>
      <c r="E51" s="41" t="inlineStr">
        <is>
          <t>記録種別:コンクリート圧縮強度試験 | 作成部署:施工本部 | 保管期間:工事完了後10年</t>
        </is>
      </c>
      <c r="F51" s="44" t="n"/>
      <c r="G51" s="45" t="n"/>
    </row>
    <row r="52" ht="16" customHeight="1" s="33">
      <c r="A52" s="40" t="n">
        <v>45</v>
      </c>
      <c r="B52" s="43" t="inlineStr">
        <is>
          <t>PPE（個人保護具）管理</t>
        </is>
      </c>
      <c r="C52" s="41" t="inlineStr">
        <is>
          <t>アラート</t>
        </is>
      </c>
      <c r="D52" s="45" t="n"/>
      <c r="E52" s="41" t="inlineStr">
        <is>
          <t>記録種別:出来形管理記録 | 作成部署:施工本部 | 保管期間:工事完了後10年</t>
        </is>
      </c>
      <c r="F52" s="44" t="n"/>
      <c r="G52" s="45" t="n"/>
    </row>
    <row r="53" ht="16" customHeight="1" s="33">
      <c r="A53" s="40" t="n">
        <v>46</v>
      </c>
      <c r="B53" s="43" t="inlineStr">
        <is>
          <t>PPE（個人保護具）管理</t>
        </is>
      </c>
      <c r="C53" s="41" t="inlineStr">
        <is>
          <t>アラート</t>
        </is>
      </c>
      <c r="D53" s="45" t="n"/>
      <c r="E53" s="41" t="inlineStr">
        <is>
          <t>記録種別:品質管理写真 | 作成部署:施工本部 | 保管期間:工事完了後10年</t>
        </is>
      </c>
      <c r="F53" s="44" t="n"/>
      <c r="G53" s="45" t="n"/>
    </row>
    <row r="54" ht="16" customHeight="1" s="33">
      <c r="A54" s="40" t="n">
        <v>47</v>
      </c>
      <c r="B54" s="43" t="inlineStr">
        <is>
          <t>PPE（個人保護具）管理</t>
        </is>
      </c>
      <c r="C54" s="41" t="inlineStr">
        <is>
          <t>アラート</t>
        </is>
      </c>
      <c r="D54" s="45" t="n"/>
      <c r="E54" s="41" t="inlineStr">
        <is>
          <t>記録種別:受入検査記録 | 作成部署:施工本部 | 保管期間:工事完了後10年</t>
        </is>
      </c>
      <c r="F54" s="44" t="n"/>
      <c r="G54" s="45" t="n"/>
    </row>
    <row r="55" ht="16" customHeight="1" s="33">
      <c r="A55" s="40" t="n">
        <v>48</v>
      </c>
      <c r="B55" s="43" t="inlineStr">
        <is>
          <t>PPE（個人保護具）管理</t>
        </is>
      </c>
      <c r="C55" s="41" t="inlineStr">
        <is>
          <t>アラート</t>
        </is>
      </c>
      <c r="D55" s="45" t="n"/>
      <c r="E55" s="41" t="inlineStr">
        <is>
          <t>記録種別:溶接検査記録 | 作成部署:施工本部 | 保管期間:工事完了後10年</t>
        </is>
      </c>
      <c r="F55" s="44" t="n"/>
      <c r="G55" s="45" t="n"/>
    </row>
    <row r="56" ht="16" customHeight="1" s="33">
      <c r="A56" s="40" t="n">
        <v>49</v>
      </c>
      <c r="B56" s="43" t="inlineStr">
        <is>
          <t>PPE（個人保護具）管理</t>
        </is>
      </c>
      <c r="C56" s="41" t="inlineStr">
        <is>
          <t>アラート</t>
        </is>
      </c>
      <c r="D56" s="45" t="n"/>
      <c r="E56" s="41" t="inlineStr">
        <is>
          <t>記録種別:施工管理記録 | 作成部署:施工本部 | 保管期間:工事完了後10年</t>
        </is>
      </c>
      <c r="F56" s="44" t="n"/>
      <c r="G56" s="45" t="n"/>
    </row>
    <row r="57" ht="16" customHeight="1" s="33">
      <c r="A57" s="40" t="n">
        <v>50</v>
      </c>
      <c r="B57" s="43" t="inlineStr">
        <is>
          <t>PPE（個人保護具）管理</t>
        </is>
      </c>
      <c r="C57" s="41" t="inlineStr">
        <is>
          <t>アラート</t>
        </is>
      </c>
      <c r="D57" s="45" t="n"/>
      <c r="E57" s="41" t="inlineStr">
        <is>
          <t>項目:NCR番号 | 説明:自動採番（年度-連番）</t>
        </is>
      </c>
      <c r="F57" s="44" t="n"/>
      <c r="G57" s="45" t="n"/>
    </row>
    <row r="58" ht="16" customHeight="1" s="33">
      <c r="A58" s="40" t="n">
        <v>51</v>
      </c>
      <c r="B58" s="43" t="inlineStr">
        <is>
          <t>PPE（個人保護具）管理</t>
        </is>
      </c>
      <c r="C58" s="41" t="inlineStr">
        <is>
          <t>アラート</t>
        </is>
      </c>
      <c r="D58" s="45" t="n"/>
      <c r="E58" s="41" t="inlineStr">
        <is>
          <t>項目:発見者 | 説明:発見した者の氏名・所属</t>
        </is>
      </c>
      <c r="F58" s="44" t="n"/>
      <c r="G58" s="45" t="n"/>
    </row>
    <row r="59" ht="16" customHeight="1" s="33">
      <c r="A59" s="40" t="n">
        <v>52</v>
      </c>
      <c r="B59" s="43" t="inlineStr">
        <is>
          <t>PPE（個人保護具）管理</t>
        </is>
      </c>
      <c r="C59" s="41" t="inlineStr">
        <is>
          <t>アラート</t>
        </is>
      </c>
      <c r="D59" s="45" t="n"/>
      <c r="E59" s="41" t="inlineStr">
        <is>
          <t>項目:不適合内容 | 説明:不適合の詳細記述</t>
        </is>
      </c>
      <c r="F59" s="44" t="n"/>
      <c r="G59" s="45" t="n"/>
    </row>
    <row r="60" ht="16" customHeight="1" s="33">
      <c r="A60" s="40" t="n">
        <v>53</v>
      </c>
      <c r="B60" s="43" t="inlineStr">
        <is>
          <t>PPE（個人保護具）管理</t>
        </is>
      </c>
      <c r="C60" s="41" t="inlineStr">
        <is>
          <t>アラート</t>
        </is>
      </c>
      <c r="D60" s="45" t="n"/>
      <c r="E60" s="41" t="inlineStr">
        <is>
          <t>項目:影響範囲 | 説明:品質・安全・環境への影響評価</t>
        </is>
      </c>
      <c r="F60" s="44" t="n"/>
      <c r="G60" s="45" t="n"/>
    </row>
    <row r="61" ht="16" customHeight="1" s="33">
      <c r="A61" s="40" t="n">
        <v>54</v>
      </c>
      <c r="B61" s="43" t="inlineStr">
        <is>
          <t>PPE（個人保護具）管理</t>
        </is>
      </c>
      <c r="C61" s="41" t="inlineStr">
        <is>
          <t>アラート</t>
        </is>
      </c>
      <c r="D61" s="45" t="n"/>
      <c r="E61" s="41" t="inlineStr">
        <is>
          <t>項目:原因分析 | 説明:なぜなぜ分析の記録</t>
        </is>
      </c>
      <c r="F61" s="44" t="n"/>
      <c r="G61" s="45" t="n"/>
    </row>
    <row r="62" ht="16" customHeight="1" s="33">
      <c r="A62" s="40" t="n">
        <v>55</v>
      </c>
      <c r="B62" s="43" t="inlineStr">
        <is>
          <t>PPE（個人保護具）管理</t>
        </is>
      </c>
      <c r="C62" s="41" t="inlineStr">
        <is>
          <t>アラート</t>
        </is>
      </c>
      <c r="D62" s="45" t="n"/>
      <c r="E62" s="41" t="inlineStr">
        <is>
          <t>項目:処置方法 | 説明:修正/手直し/特採/廃棄</t>
        </is>
      </c>
      <c r="F62" s="44" t="n"/>
      <c r="G62" s="45" t="n"/>
    </row>
    <row r="63" ht="16" customHeight="1" s="33">
      <c r="A63" s="40" t="n">
        <v>56</v>
      </c>
      <c r="B63" s="43" t="inlineStr">
        <is>
          <t>PPE（個人保護具）管理</t>
        </is>
      </c>
      <c r="C63" s="41" t="inlineStr">
        <is>
          <t>アラート</t>
        </is>
      </c>
      <c r="D63" s="45" t="n"/>
      <c r="E63" s="41" t="inlineStr">
        <is>
          <t>項目:是正処置 | 説明:再発防止策</t>
        </is>
      </c>
      <c r="F63" s="44" t="n"/>
      <c r="G63" s="45" t="n"/>
    </row>
    <row r="64" ht="16" customHeight="1" s="33">
      <c r="A64" s="40" t="n">
        <v>57</v>
      </c>
      <c r="B64" s="43" t="inlineStr">
        <is>
          <t>PPE（個人保護具）管理</t>
        </is>
      </c>
      <c r="C64" s="41" t="inlineStr">
        <is>
          <t>アラート</t>
        </is>
      </c>
      <c r="D64" s="45" t="n"/>
      <c r="E64" s="41" t="inlineStr">
        <is>
          <t>項目:期限 | 説明:是正完了期限</t>
        </is>
      </c>
      <c r="F64" s="44" t="n"/>
      <c r="G64" s="45" t="n"/>
    </row>
    <row r="65" ht="16" customHeight="1" s="33">
      <c r="A65" s="40" t="n">
        <v>58</v>
      </c>
      <c r="B65" s="43" t="inlineStr">
        <is>
          <t>PPE（個人保護具）管理</t>
        </is>
      </c>
      <c r="C65" s="41" t="inlineStr">
        <is>
          <t>アラート</t>
        </is>
      </c>
      <c r="D65" s="45" t="n"/>
      <c r="E65" s="41" t="inlineStr">
        <is>
          <t>項目:完了確認者 | 説明:品質環境部の確認者</t>
        </is>
      </c>
      <c r="F65" s="44" t="n"/>
      <c r="G65" s="45" t="n"/>
    </row>
    <row r="66" ht="16" customHeight="1" s="33">
      <c r="A66" s="40" t="n">
        <v>59</v>
      </c>
      <c r="B66" s="43" t="inlineStr">
        <is>
          <t>PPE（個人保護具）管理</t>
        </is>
      </c>
      <c r="C66" s="41" t="inlineStr">
        <is>
          <t>アラート</t>
        </is>
      </c>
      <c r="D66" s="45" t="n"/>
      <c r="E66" s="41" t="inlineStr">
        <is>
          <t>監査種別:内部監査 | 頻度:年1回 | 実施者:社内内部監査員</t>
        </is>
      </c>
      <c r="F66" s="44" t="n"/>
      <c r="G66" s="45" t="n"/>
    </row>
    <row r="67" ht="16" customHeight="1" s="33">
      <c r="A67" s="40" t="n">
        <v>60</v>
      </c>
      <c r="B67" s="43" t="inlineStr">
        <is>
          <t>PPE（個人保護具）管理</t>
        </is>
      </c>
      <c r="C67" s="41" t="inlineStr">
        <is>
          <t>アラート</t>
        </is>
      </c>
      <c r="D67" s="45" t="n"/>
      <c r="E67" s="41" t="inlineStr">
        <is>
          <t>監査種別:サーベイランス審査 | 頻度:年1回 | 実施者:認証機関</t>
        </is>
      </c>
      <c r="F67" s="44" t="n"/>
      <c r="G67" s="45" t="n"/>
    </row>
    <row r="68" ht="16" customHeight="1" s="33">
      <c r="A68" s="40" t="n">
        <v>61</v>
      </c>
      <c r="B68" s="43" t="inlineStr">
        <is>
          <t>PPE（個人保護具）管理</t>
        </is>
      </c>
      <c r="C68" s="41" t="inlineStr">
        <is>
          <t>アラート</t>
        </is>
      </c>
      <c r="D68" s="45" t="n"/>
      <c r="E68" s="41" t="inlineStr">
        <is>
          <t>監査種別:更新審査 | 頻度:3年に1回 | 実施者:認証機関</t>
        </is>
      </c>
      <c r="F68" s="44" t="n"/>
      <c r="G68" s="45" t="n"/>
    </row>
    <row r="69" ht="16" customHeight="1" s="33">
      <c r="A69" s="40" t="n">
        <v>62</v>
      </c>
      <c r="B69" s="43" t="inlineStr">
        <is>
          <t>PPE（個人保護具）管理</t>
        </is>
      </c>
      <c r="C69" s="41" t="inlineStr">
        <is>
          <t>アラート</t>
        </is>
      </c>
      <c r="D69" s="45" t="n"/>
      <c r="E69" s="41" t="inlineStr">
        <is>
          <t>監査種別:特別監査 | 頻度:必要時 | 実施者:品質環境部</t>
        </is>
      </c>
      <c r="F69" s="44" t="n"/>
      <c r="G69" s="45" t="n"/>
    </row>
    <row r="70" ht="32" customHeight="1" s="33">
      <c r="A70" s="40" t="n">
        <v>63</v>
      </c>
      <c r="B70" s="43" t="inlineStr">
        <is>
          <t>PPE（個人保護具）管理</t>
        </is>
      </c>
      <c r="C70" s="41" t="inlineStr">
        <is>
          <t>アラート</t>
        </is>
      </c>
      <c r="D70" s="45" t="n"/>
      <c r="E70" s="43" t="inlineStr">
        <is>
          <t>Scope:Scope 1 | 対象:自社重機・車両の燃料消費 | データソース:燃料使用量記録</t>
        </is>
      </c>
      <c r="F70" s="44" t="n"/>
      <c r="G70" s="45" t="n"/>
    </row>
    <row r="71" ht="16" customHeight="1" s="33">
      <c r="A71" s="40" t="n">
        <v>64</v>
      </c>
      <c r="B71" s="43" t="inlineStr">
        <is>
          <t>PPE（個人保護具）管理</t>
        </is>
      </c>
      <c r="C71" s="41" t="inlineStr">
        <is>
          <t>アラート</t>
        </is>
      </c>
      <c r="D71" s="45" t="n"/>
      <c r="E71" s="43" t="inlineStr">
        <is>
          <t>Scope:Scope 2 | 対象:購入電力 | データソース:電力使用量</t>
        </is>
      </c>
      <c r="F71" s="44" t="n"/>
      <c r="G71" s="45" t="n"/>
    </row>
    <row r="72" ht="32" customHeight="1" s="33">
      <c r="A72" s="40" t="n">
        <v>65</v>
      </c>
      <c r="B72" s="43" t="inlineStr">
        <is>
          <t>PPE（個人保護具）管理</t>
        </is>
      </c>
      <c r="C72" s="41" t="inlineStr">
        <is>
          <t>アラート</t>
        </is>
      </c>
      <c r="D72" s="45" t="n"/>
      <c r="E72" s="43" t="inlineStr">
        <is>
          <t>Scope:Scope 3 | 対象:協力会社・資材運搬・廃棄物処理等 | データソース:取引先データ</t>
        </is>
      </c>
      <c r="F72" s="44" t="n"/>
      <c r="G72" s="45" t="n"/>
    </row>
    <row r="73" ht="16" customHeight="1" s="33">
      <c r="A73" s="40" t="n">
        <v>66</v>
      </c>
      <c r="B73" s="43" t="inlineStr">
        <is>
          <t>PPE（個人保護具）管理</t>
        </is>
      </c>
      <c r="C73" s="41" t="inlineStr">
        <is>
          <t>アラート</t>
        </is>
      </c>
      <c r="D73" s="45" t="n"/>
      <c r="E73" s="41" t="inlineStr">
        <is>
          <t>項目:交付番号 | 説明:マニフェスト伝票番号</t>
        </is>
      </c>
      <c r="F73" s="44" t="n"/>
      <c r="G73" s="45" t="n"/>
    </row>
    <row r="74" ht="16" customHeight="1" s="33">
      <c r="A74" s="40" t="n">
        <v>67</v>
      </c>
      <c r="B74" s="43" t="inlineStr">
        <is>
          <t>PPE（個人保護具）管理</t>
        </is>
      </c>
      <c r="C74" s="41" t="inlineStr">
        <is>
          <t>アラート</t>
        </is>
      </c>
      <c r="D74" s="45" t="n"/>
      <c r="E74" s="41" t="inlineStr">
        <is>
          <t>項目:排出事業場 | 説明:現場名・住所</t>
        </is>
      </c>
      <c r="F74" s="44" t="n"/>
      <c r="G74" s="45" t="n"/>
    </row>
    <row r="75" ht="16" customHeight="1" s="33">
      <c r="A75" s="40" t="n">
        <v>68</v>
      </c>
      <c r="B75" s="43" t="inlineStr">
        <is>
          <t>PPE（個人保護具）管理</t>
        </is>
      </c>
      <c r="C75" s="41" t="inlineStr">
        <is>
          <t>アラート</t>
        </is>
      </c>
      <c r="D75" s="45" t="n"/>
      <c r="E75" s="41" t="inlineStr">
        <is>
          <t>項目:廃棄物種類 | 説明:汚泥/がれき類/廃プラ/木くず等</t>
        </is>
      </c>
      <c r="F75" s="44" t="n"/>
      <c r="G75" s="45" t="n"/>
    </row>
    <row r="76" ht="16" customHeight="1" s="33">
      <c r="A76" s="40" t="n">
        <v>69</v>
      </c>
      <c r="B76" s="43" t="inlineStr">
        <is>
          <t>PPE（個人保護具）管理</t>
        </is>
      </c>
      <c r="C76" s="41" t="inlineStr">
        <is>
          <t>アラート</t>
        </is>
      </c>
      <c r="D76" s="45" t="n"/>
      <c r="E76" s="41" t="inlineStr">
        <is>
          <t>項目:数量 | 説明:重量（トン）・体積（m³）</t>
        </is>
      </c>
      <c r="F76" s="44" t="n"/>
      <c r="G76" s="45" t="n"/>
    </row>
    <row r="77" ht="16" customHeight="1" s="33">
      <c r="A77" s="40" t="n">
        <v>70</v>
      </c>
      <c r="B77" s="43" t="inlineStr">
        <is>
          <t>PPE（個人保護具）管理</t>
        </is>
      </c>
      <c r="C77" s="41" t="inlineStr">
        <is>
          <t>アラート</t>
        </is>
      </c>
      <c r="D77" s="45" t="n"/>
      <c r="E77" s="41" t="inlineStr">
        <is>
          <t>項目:収集運搬業者 | 説明:業者名・許可番号</t>
        </is>
      </c>
      <c r="F77" s="44" t="n"/>
      <c r="G77" s="45" t="n"/>
    </row>
    <row r="78" ht="16" customHeight="1" s="33">
      <c r="A78" s="40" t="n">
        <v>71</v>
      </c>
      <c r="B78" s="43" t="inlineStr">
        <is>
          <t>PPE（個人保護具）管理</t>
        </is>
      </c>
      <c r="C78" s="41" t="inlineStr">
        <is>
          <t>アラート</t>
        </is>
      </c>
      <c r="D78" s="45" t="n"/>
      <c r="E78" s="41" t="inlineStr">
        <is>
          <t>項目:処分業者 | 説明:業者名・許可番号・処分方法</t>
        </is>
      </c>
      <c r="F78" s="44" t="n"/>
      <c r="G78" s="45" t="n"/>
    </row>
    <row r="79" ht="16" customHeight="1" s="33">
      <c r="A79" s="40" t="n">
        <v>72</v>
      </c>
      <c r="B79" s="43" t="inlineStr">
        <is>
          <t>PPE（個人保護具）管理</t>
        </is>
      </c>
      <c r="C79" s="41" t="inlineStr">
        <is>
          <t>アラート</t>
        </is>
      </c>
      <c r="D79" s="45" t="n"/>
      <c r="E79" s="41" t="inlineStr">
        <is>
          <t>項目:交付日 | 説明:マニフェスト交付日</t>
        </is>
      </c>
      <c r="F79" s="44" t="n"/>
      <c r="G79" s="45" t="n"/>
    </row>
    <row r="80" ht="16" customHeight="1" s="33">
      <c r="A80" s="40" t="n">
        <v>73</v>
      </c>
      <c r="B80" s="43" t="inlineStr">
        <is>
          <t>PPE（個人保護具）管理</t>
        </is>
      </c>
      <c r="C80" s="41" t="inlineStr">
        <is>
          <t>アラート</t>
        </is>
      </c>
      <c r="D80" s="45" t="n"/>
      <c r="E80" s="41" t="inlineStr">
        <is>
          <t>項目:返送状況 | 説明:B2/D/E票の返送確認</t>
        </is>
      </c>
      <c r="F80" s="44" t="n"/>
      <c r="G80" s="45" t="n"/>
    </row>
    <row r="81" ht="16" customHeight="1" s="33">
      <c r="A81" s="40" t="n">
        <v>74</v>
      </c>
      <c r="B81" s="43" t="inlineStr">
        <is>
          <t>PPE（個人保護具）管理</t>
        </is>
      </c>
      <c r="C81" s="41" t="inlineStr">
        <is>
          <t>アラート</t>
        </is>
      </c>
      <c r="D81" s="45" t="n"/>
      <c r="E81" s="41" t="inlineStr">
        <is>
          <t>管理項目:CAPA番号 | 説明:自動採番</t>
        </is>
      </c>
      <c r="F81" s="44" t="n"/>
      <c r="G81" s="45" t="n"/>
    </row>
    <row r="82" ht="16" customHeight="1" s="33">
      <c r="A82" s="40" t="n">
        <v>75</v>
      </c>
      <c r="B82" s="43" t="inlineStr">
        <is>
          <t>PPE（個人保護具）管理</t>
        </is>
      </c>
      <c r="C82" s="41" t="inlineStr">
        <is>
          <t>アラート</t>
        </is>
      </c>
      <c r="D82" s="45" t="n"/>
      <c r="E82" s="41" t="inlineStr">
        <is>
          <t>管理項目:発生源 | 説明:内部監査/外部監査/顧客苦情/NCR/ヒヤリハット</t>
        </is>
      </c>
      <c r="F82" s="44" t="n"/>
      <c r="G82" s="45" t="n"/>
    </row>
    <row r="83" ht="16" customHeight="1" s="33">
      <c r="A83" s="40" t="n">
        <v>76</v>
      </c>
      <c r="B83" s="43" t="inlineStr">
        <is>
          <t>PPE（個人保護具）管理</t>
        </is>
      </c>
      <c r="C83" s="41" t="inlineStr">
        <is>
          <t>アラート</t>
        </is>
      </c>
      <c r="D83" s="45" t="n"/>
      <c r="E83" s="41" t="inlineStr">
        <is>
          <t>管理項目:対象ISO規格 | 説明:ISO9001/14001/45001/複合</t>
        </is>
      </c>
      <c r="F83" s="44" t="n"/>
      <c r="G83" s="45" t="n"/>
    </row>
    <row r="84" ht="16" customHeight="1" s="33">
      <c r="A84" s="40" t="n">
        <v>77</v>
      </c>
      <c r="B84" s="43" t="inlineStr">
        <is>
          <t>PPE（個人保護具）管理</t>
        </is>
      </c>
      <c r="C84" s="41" t="inlineStr">
        <is>
          <t>アラート</t>
        </is>
      </c>
      <c r="D84" s="45" t="n"/>
      <c r="E84" s="41" t="inlineStr">
        <is>
          <t>管理項目:根本原因 | 説明:RCA（Root Cause Analysis）記録</t>
        </is>
      </c>
      <c r="F84" s="44" t="n"/>
      <c r="G84" s="45" t="n"/>
    </row>
    <row r="85" ht="16" customHeight="1" s="33">
      <c r="A85" s="40" t="n">
        <v>78</v>
      </c>
      <c r="B85" s="43" t="inlineStr">
        <is>
          <t>PPE（個人保護具）管理</t>
        </is>
      </c>
      <c r="C85" s="41" t="inlineStr">
        <is>
          <t>アラート</t>
        </is>
      </c>
      <c r="D85" s="45" t="n"/>
      <c r="E85" s="41" t="inlineStr">
        <is>
          <t>管理項目:是正処置 | 説明:具体的な対策内容</t>
        </is>
      </c>
      <c r="F85" s="44" t="n"/>
      <c r="G85" s="45" t="n"/>
    </row>
    <row r="86" ht="16" customHeight="1" s="33">
      <c r="A86" s="40" t="n">
        <v>79</v>
      </c>
      <c r="B86" s="43" t="inlineStr">
        <is>
          <t>PPE（個人保護具）管理</t>
        </is>
      </c>
      <c r="C86" s="41" t="inlineStr">
        <is>
          <t>アラート</t>
        </is>
      </c>
      <c r="D86" s="45" t="n"/>
      <c r="E86" s="41" t="inlineStr">
        <is>
          <t>管理項目:担当者 | 説明:実施責任者</t>
        </is>
      </c>
      <c r="F86" s="44" t="n"/>
      <c r="G86" s="45" t="n"/>
    </row>
    <row r="87" ht="16" customHeight="1" s="33">
      <c r="A87" s="40" t="n">
        <v>80</v>
      </c>
      <c r="B87" s="43" t="inlineStr">
        <is>
          <t>PPE（個人保護具）管理</t>
        </is>
      </c>
      <c r="C87" s="41" t="inlineStr">
        <is>
          <t>アラート</t>
        </is>
      </c>
      <c r="D87" s="45" t="n"/>
      <c r="E87" s="41" t="inlineStr">
        <is>
          <t>管理項目:期限 | 説明:完了期限</t>
        </is>
      </c>
      <c r="F87" s="44" t="n"/>
      <c r="G87" s="45" t="n"/>
    </row>
    <row r="88" ht="16" customHeight="1" s="33">
      <c r="A88" s="40" t="n">
        <v>81</v>
      </c>
      <c r="B88" s="43" t="inlineStr">
        <is>
          <t>PPE（個人保護具）管理</t>
        </is>
      </c>
      <c r="C88" s="41" t="inlineStr">
        <is>
          <t>アラート</t>
        </is>
      </c>
      <c r="D88" s="45" t="n"/>
      <c r="E88" s="41" t="inlineStr">
        <is>
          <t>管理項目:有効性確認 | 説明:対策効果の検証結果</t>
        </is>
      </c>
      <c r="F88" s="44" t="n"/>
      <c r="G88" s="45" t="n"/>
    </row>
    <row r="89" ht="16" customHeight="1" s="33">
      <c r="A89" s="40" t="n">
        <v>82</v>
      </c>
      <c r="B89" s="43" t="inlineStr">
        <is>
          <t>PPE（個人保護具）管理</t>
        </is>
      </c>
      <c r="C89" s="41" t="inlineStr">
        <is>
          <t>アラート</t>
        </is>
      </c>
      <c r="D89" s="45" t="n"/>
      <c r="E89" s="41" t="inlineStr">
        <is>
          <t>管理項目:完了判定 | 説明:品質環境部による完了判定</t>
        </is>
      </c>
      <c r="F89" s="44" t="n"/>
      <c r="G89" s="45" t="n"/>
    </row>
    <row r="90" ht="16" customHeight="1" s="33">
      <c r="A90" s="40" t="n">
        <v>83</v>
      </c>
      <c r="B90" s="43" t="inlineStr">
        <is>
          <t>PPE（個人保護具）管理</t>
        </is>
      </c>
      <c r="C90" s="41" t="inlineStr">
        <is>
          <t>アラート</t>
        </is>
      </c>
      <c r="D90" s="45" t="n"/>
      <c r="E90" s="41" t="inlineStr">
        <is>
          <t>項目:PPE種別 | 説明:ヘルメット/安全帯/安全靴/ライフジャケット等</t>
        </is>
      </c>
      <c r="F90" s="44" t="n"/>
      <c r="G90" s="45" t="n"/>
    </row>
    <row r="91" ht="16" customHeight="1" s="33">
      <c r="A91" s="40" t="n">
        <v>84</v>
      </c>
      <c r="B91" s="43" t="inlineStr">
        <is>
          <t>PPE（個人保護具）管理</t>
        </is>
      </c>
      <c r="C91" s="41" t="inlineStr">
        <is>
          <t>アラート</t>
        </is>
      </c>
      <c r="D91" s="45" t="n"/>
      <c r="E91" s="41" t="inlineStr">
        <is>
          <t>項目:支給対象者 | 説明:作業員名・所属</t>
        </is>
      </c>
      <c r="F91" s="44" t="n"/>
      <c r="G91" s="45" t="n"/>
    </row>
    <row r="92" ht="16" customHeight="1" s="33">
      <c r="A92" s="40" t="n">
        <v>85</v>
      </c>
      <c r="B92" s="43" t="inlineStr">
        <is>
          <t>PPE（個人保護具）管理</t>
        </is>
      </c>
      <c r="C92" s="41" t="inlineStr">
        <is>
          <t>アラート</t>
        </is>
      </c>
      <c r="D92" s="45" t="n"/>
      <c r="E92" s="41" t="inlineStr">
        <is>
          <t>項目:支給日 | 説明:支給日</t>
        </is>
      </c>
      <c r="F92" s="44" t="n"/>
      <c r="G92" s="45" t="n"/>
    </row>
    <row r="93" ht="16" customHeight="1" s="33">
      <c r="A93" s="40" t="n">
        <v>86</v>
      </c>
      <c r="B93" s="43" t="inlineStr">
        <is>
          <t>PPE（個人保護具）管理</t>
        </is>
      </c>
      <c r="C93" s="41" t="inlineStr">
        <is>
          <t>アラート</t>
        </is>
      </c>
      <c r="D93" s="45" t="n"/>
      <c r="E93" s="41" t="inlineStr">
        <is>
          <t>項目:有効期限 | 説明:製品の使用期限（ヘルメット3年等）</t>
        </is>
      </c>
      <c r="F93" s="44" t="n"/>
      <c r="G93" s="45" t="n"/>
    </row>
    <row r="94" ht="16" customHeight="1" s="33">
      <c r="A94" s="40" t="n">
        <v>87</v>
      </c>
      <c r="B94" s="43" t="inlineStr">
        <is>
          <t>PPE（個人保護具）管理</t>
        </is>
      </c>
      <c r="C94" s="41" t="inlineStr">
        <is>
          <t>アラート</t>
        </is>
      </c>
      <c r="D94" s="45" t="n"/>
      <c r="E94" s="41" t="inlineStr">
        <is>
          <t>項目:点検記録 | 説明:定期点検の記録</t>
        </is>
      </c>
      <c r="F94" s="44" t="n"/>
      <c r="G94" s="45" t="n"/>
    </row>
    <row r="95" ht="16" customHeight="1" s="33">
      <c r="A95" s="40" t="n">
        <v>88</v>
      </c>
      <c r="B95" s="43" t="inlineStr">
        <is>
          <t>PPE（個人保護具）管理</t>
        </is>
      </c>
      <c r="C95" s="41" t="inlineStr">
        <is>
          <t>アラート</t>
        </is>
      </c>
      <c r="D95" s="45" t="n"/>
      <c r="E95" s="41" t="inlineStr">
        <is>
          <t>項目:交換履歴 | 説明:交換理由・交換日</t>
        </is>
      </c>
      <c r="F95" s="44" t="n"/>
      <c r="G95" s="45" t="n"/>
    </row>
    <row r="96" ht="16" customHeight="1" s="33"/>
    <row r="97" ht="32" customHeight="1" s="33">
      <c r="A97" s="47" t="inlineStr">
        <is>
          <t>合計業務項目数: 88件</t>
        </is>
      </c>
    </row>
  </sheetData>
  <autoFilter ref="A4:G95"/>
  <mergeCells count="5">
    <mergeCell ref="A1:G1"/>
    <mergeCell ref="A2:G2"/>
    <mergeCell ref="A42:G42"/>
    <mergeCell ref="A11:G11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1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0" customWidth="1" style="32" min="2" max="2"/>
    <col width="22" customWidth="1" style="32" min="3" max="3"/>
    <col width="52" customWidth="1" style="32" min="4" max="4"/>
    <col width="14" customWidth="1" style="32" min="5" max="5"/>
    <col width="36" customWidth="1" style="32" min="6" max="7"/>
    <col width="36" customWidth="1" style="33" min="7" max="7"/>
    <col width="14" customWidth="1" style="32" min="8" max="11"/>
    <col width="14" customWidth="1" style="33" min="9" max="9"/>
    <col width="14" customWidth="1" style="33" min="10" max="10"/>
    <col width="14" customWidth="1" style="33" min="11" max="11"/>
  </cols>
  <sheetData>
    <row r="1" ht="38" customHeight="1" s="33">
      <c r="A1" s="48" t="inlineStr">
        <is>
          <t>業務チェック確認シート — 品質環境部</t>
        </is>
      </c>
    </row>
    <row r="2" ht="22" customHeight="1" s="33">
      <c r="A2" s="49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3">
      <c r="A3" s="50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3">
      <c r="A5" s="51" t="inlineStr">
        <is>
          <t>No.</t>
        </is>
      </c>
      <c r="B5" s="52" t="inlineStr">
        <is>
          <t>大分類</t>
        </is>
      </c>
      <c r="C5" s="52" t="inlineStr">
        <is>
          <t>中分類</t>
        </is>
      </c>
      <c r="D5" s="52" t="inlineStr">
        <is>
          <t>業務項目</t>
        </is>
      </c>
      <c r="E5" s="52" t="inlineStr">
        <is>
          <t>確認結果</t>
        </is>
      </c>
      <c r="F5" s="52" t="inlineStr">
        <is>
          <t>修正内容・コメント</t>
        </is>
      </c>
      <c r="G5" s="52" t="inlineStr">
        <is>
          <t>追加業務（新規）</t>
        </is>
      </c>
      <c r="H5" s="52" t="inlineStr">
        <is>
          <t>優先度評価</t>
        </is>
      </c>
      <c r="I5" s="52" t="inlineStr">
        <is>
          <t>記入者</t>
        </is>
      </c>
      <c r="J5" s="52" t="inlineStr">
        <is>
          <t>記入日</t>
        </is>
      </c>
      <c r="K5" s="52" t="inlineStr">
        <is>
          <t>承認者</t>
        </is>
      </c>
    </row>
    <row r="6" ht="16" customHeight="1" s="33">
      <c r="A6" s="53" t="inlineStr">
        <is>
          <t>■ 部署概要</t>
        </is>
      </c>
      <c r="B6" s="54" t="n"/>
      <c r="C6" s="54" t="n"/>
      <c r="D6" s="54" t="n"/>
      <c r="E6" s="55" t="n"/>
      <c r="F6" s="54" t="n"/>
      <c r="G6" s="54" t="n"/>
      <c r="H6" s="55" t="n"/>
      <c r="I6" s="55" t="n"/>
      <c r="J6" s="55" t="n"/>
      <c r="K6" s="55" t="n"/>
    </row>
    <row r="7" ht="16" customHeight="1" s="33">
      <c r="A7" s="56" t="n">
        <v>1</v>
      </c>
      <c r="B7" s="41" t="inlineStr">
        <is>
          <t>部署概要</t>
        </is>
      </c>
      <c r="C7" s="41" t="inlineStr">
        <is>
          <t>部署ミッション</t>
        </is>
      </c>
      <c r="D7" s="43" t="inlineStr">
        <is>
          <t>ISO9001品質マネジメントシステムの運用・維持・改善</t>
        </is>
      </c>
      <c r="E7" s="56" t="n"/>
      <c r="F7" s="43" t="n"/>
      <c r="G7" s="43" t="n"/>
      <c r="H7" s="56" t="n"/>
      <c r="I7" s="56" t="n"/>
      <c r="J7" s="56" t="n"/>
      <c r="K7" s="56" t="n"/>
    </row>
    <row r="8" ht="16" customHeight="1" s="33">
      <c r="A8" s="56" t="n">
        <v>2</v>
      </c>
      <c r="B8" s="41" t="inlineStr">
        <is>
          <t>部署概要</t>
        </is>
      </c>
      <c r="C8" s="41" t="inlineStr">
        <is>
          <t>部署ミッション</t>
        </is>
      </c>
      <c r="D8" s="43" t="inlineStr">
        <is>
          <t>ISO14001環境マネジメントシステムの運用・維持・改善</t>
        </is>
      </c>
      <c r="E8" s="56" t="n"/>
      <c r="F8" s="43" t="n"/>
      <c r="G8" s="43" t="n"/>
      <c r="H8" s="56" t="n"/>
      <c r="I8" s="56" t="n"/>
      <c r="J8" s="56" t="n"/>
      <c r="K8" s="56" t="n"/>
    </row>
    <row r="9" ht="16" customHeight="1" s="33">
      <c r="A9" s="56" t="n">
        <v>3</v>
      </c>
      <c r="B9" s="41" t="inlineStr">
        <is>
          <t>部署概要</t>
        </is>
      </c>
      <c r="C9" s="41" t="inlineStr">
        <is>
          <t>部署ミッション</t>
        </is>
      </c>
      <c r="D9" s="41" t="inlineStr">
        <is>
          <t>施工品質の管理基準の策定・監視</t>
        </is>
      </c>
      <c r="E9" s="56" t="n"/>
      <c r="F9" s="43" t="n"/>
      <c r="G9" s="43" t="n"/>
      <c r="H9" s="56" t="n"/>
      <c r="I9" s="56" t="n"/>
      <c r="J9" s="56" t="n"/>
      <c r="K9" s="56" t="n"/>
    </row>
    <row r="10" ht="16" customHeight="1" s="33">
      <c r="A10" s="56" t="n">
        <v>4</v>
      </c>
      <c r="B10" s="41" t="inlineStr">
        <is>
          <t>部署概要</t>
        </is>
      </c>
      <c r="C10" s="41" t="inlineStr">
        <is>
          <t>部署ミッション</t>
        </is>
      </c>
      <c r="D10" s="41" t="inlineStr">
        <is>
          <t>環境負荷の低減（CO2排出量削減・産廃管理）</t>
        </is>
      </c>
      <c r="E10" s="56" t="n"/>
      <c r="F10" s="43" t="n"/>
      <c r="G10" s="43" t="n"/>
      <c r="H10" s="56" t="n"/>
      <c r="I10" s="56" t="n"/>
      <c r="J10" s="56" t="n"/>
      <c r="K10" s="56" t="n"/>
    </row>
    <row r="11" ht="16" customHeight="1" s="33">
      <c r="A11" s="56" t="n">
        <v>5</v>
      </c>
      <c r="B11" s="41" t="inlineStr">
        <is>
          <t>部署概要</t>
        </is>
      </c>
      <c r="C11" s="41" t="inlineStr">
        <is>
          <t>部署ミッション</t>
        </is>
      </c>
      <c r="D11" s="43" t="inlineStr">
        <is>
          <t>SBTi目標に基づくカーボンニュートラル推進</t>
        </is>
      </c>
      <c r="E11" s="56" t="n"/>
      <c r="F11" s="43" t="n"/>
      <c r="G11" s="43" t="n"/>
      <c r="H11" s="56" t="n"/>
      <c r="I11" s="56" t="n"/>
      <c r="J11" s="56" t="n"/>
      <c r="K11" s="56" t="n"/>
    </row>
    <row r="12" ht="32" customHeight="1" s="33">
      <c r="A12" s="53" t="inlineStr">
        <is>
          <t>■ 業務要件（詳細）</t>
        </is>
      </c>
      <c r="B12" s="54" t="n"/>
      <c r="C12" s="54" t="n"/>
      <c r="D12" s="54" t="n"/>
      <c r="E12" s="55" t="n"/>
      <c r="F12" s="54" t="n"/>
      <c r="G12" s="54" t="n"/>
      <c r="H12" s="55" t="n"/>
      <c r="I12" s="55" t="n"/>
      <c r="J12" s="55" t="n"/>
      <c r="K12" s="55" t="n"/>
    </row>
    <row r="13" ht="16" customHeight="1" s="33">
      <c r="A13" s="56" t="n">
        <v>6</v>
      </c>
      <c r="B13" s="41" t="inlineStr">
        <is>
          <t>業務要件（詳細）</t>
        </is>
      </c>
      <c r="C13" s="41" t="inlineStr">
        <is>
          <t>品質記録管理</t>
        </is>
      </c>
      <c r="D13" s="41" t="inlineStr">
        <is>
          <t>国交省土木工事共通仕様書の品質基準のDB管理</t>
        </is>
      </c>
      <c r="E13" s="56" t="n"/>
      <c r="F13" s="43" t="n"/>
      <c r="G13" s="43" t="n"/>
      <c r="H13" s="56" t="n"/>
      <c r="I13" s="56" t="n"/>
      <c r="J13" s="56" t="n"/>
      <c r="K13" s="56" t="n"/>
    </row>
    <row r="14" ht="16" customHeight="1" s="33">
      <c r="A14" s="56" t="n">
        <v>7</v>
      </c>
      <c r="B14" s="41" t="inlineStr">
        <is>
          <t>業務要件（詳細）</t>
        </is>
      </c>
      <c r="C14" s="41" t="inlineStr">
        <is>
          <t>品質記録管理</t>
        </is>
      </c>
      <c r="D14" s="41" t="inlineStr">
        <is>
          <t>工種別の品質管理項目・規格値・試験方法の一覧管理</t>
        </is>
      </c>
      <c r="E14" s="56" t="n"/>
      <c r="F14" s="43" t="n"/>
      <c r="G14" s="43" t="n"/>
      <c r="H14" s="56" t="n"/>
      <c r="I14" s="56" t="n"/>
      <c r="J14" s="56" t="n"/>
      <c r="K14" s="56" t="n"/>
    </row>
    <row r="15" ht="16" customHeight="1" s="33">
      <c r="A15" s="56" t="n">
        <v>8</v>
      </c>
      <c r="B15" s="41" t="inlineStr">
        <is>
          <t>業務要件（詳細）</t>
        </is>
      </c>
      <c r="C15" s="41" t="inlineStr">
        <is>
          <t>品質記録管理</t>
        </is>
      </c>
      <c r="D15" s="41" t="inlineStr">
        <is>
          <t>規格値逸脱時のアラートと是正処置フロー</t>
        </is>
      </c>
      <c r="E15" s="56" t="n"/>
      <c r="F15" s="43" t="n"/>
      <c r="G15" s="43" t="n"/>
      <c r="H15" s="56" t="n"/>
      <c r="I15" s="56" t="n"/>
      <c r="J15" s="56" t="n"/>
      <c r="K15" s="56" t="n"/>
    </row>
    <row r="16" ht="16" customHeight="1" s="33">
      <c r="A16" s="56" t="n">
        <v>9</v>
      </c>
      <c r="B16" s="41" t="inlineStr">
        <is>
          <t>業務要件（詳細）</t>
        </is>
      </c>
      <c r="C16" s="43" t="inlineStr">
        <is>
          <t>ISO監査管理</t>
        </is>
      </c>
      <c r="D16" s="41" t="inlineStr">
        <is>
          <t>年間監査計画の作成・管理</t>
        </is>
      </c>
      <c r="E16" s="56" t="n"/>
      <c r="F16" s="43" t="n"/>
      <c r="G16" s="43" t="n"/>
      <c r="H16" s="56" t="n"/>
      <c r="I16" s="56" t="n"/>
      <c r="J16" s="56" t="n"/>
      <c r="K16" s="56" t="n"/>
    </row>
    <row r="17" ht="16" customHeight="1" s="33">
      <c r="A17" s="56" t="n">
        <v>10</v>
      </c>
      <c r="B17" s="41" t="inlineStr">
        <is>
          <t>業務要件（詳細）</t>
        </is>
      </c>
      <c r="C17" s="43" t="inlineStr">
        <is>
          <t>ISO監査管理</t>
        </is>
      </c>
      <c r="D17" s="41" t="inlineStr">
        <is>
          <t>監査チェックリストのテンプレート管理</t>
        </is>
      </c>
      <c r="E17" s="56" t="n"/>
      <c r="F17" s="43" t="n"/>
      <c r="G17" s="43" t="n"/>
      <c r="H17" s="56" t="n"/>
      <c r="I17" s="56" t="n"/>
      <c r="J17" s="56" t="n"/>
      <c r="K17" s="56" t="n"/>
    </row>
    <row r="18" ht="16" customHeight="1" s="33">
      <c r="A18" s="56" t="n">
        <v>11</v>
      </c>
      <c r="B18" s="41" t="inlineStr">
        <is>
          <t>業務要件（詳細）</t>
        </is>
      </c>
      <c r="C18" s="43" t="inlineStr">
        <is>
          <t>ISO監査管理</t>
        </is>
      </c>
      <c r="D18" s="41" t="inlineStr">
        <is>
          <t>監査所見の記録（不適合/観察事項/改善の機会）</t>
        </is>
      </c>
      <c r="E18" s="56" t="n"/>
      <c r="F18" s="43" t="n"/>
      <c r="G18" s="43" t="n"/>
      <c r="H18" s="56" t="n"/>
      <c r="I18" s="56" t="n"/>
      <c r="J18" s="56" t="n"/>
      <c r="K18" s="56" t="n"/>
    </row>
    <row r="19" ht="16" customHeight="1" s="33">
      <c r="A19" s="56" t="n">
        <v>12</v>
      </c>
      <c r="B19" s="41" t="inlineStr">
        <is>
          <t>業務要件（詳細）</t>
        </is>
      </c>
      <c r="C19" s="43" t="inlineStr">
        <is>
          <t>ISO監査管理</t>
        </is>
      </c>
      <c r="D19" s="41" t="inlineStr">
        <is>
          <t>是正処置要求書（CAR）の発行・追跡</t>
        </is>
      </c>
      <c r="E19" s="56" t="n"/>
      <c r="F19" s="43" t="n"/>
      <c r="G19" s="43" t="n"/>
      <c r="H19" s="56" t="n"/>
      <c r="I19" s="56" t="n"/>
      <c r="J19" s="56" t="n"/>
      <c r="K19" s="56" t="n"/>
    </row>
    <row r="20" ht="16" customHeight="1" s="33">
      <c r="A20" s="56" t="n">
        <v>13</v>
      </c>
      <c r="B20" s="41" t="inlineStr">
        <is>
          <t>業務要件（詳細）</t>
        </is>
      </c>
      <c r="C20" s="43" t="inlineStr">
        <is>
          <t>ISO監査管理</t>
        </is>
      </c>
      <c r="D20" s="41" t="inlineStr">
        <is>
          <t>監査証拠の管理（文書・記録・インタビュー記録）</t>
        </is>
      </c>
      <c r="E20" s="56" t="n"/>
      <c r="F20" s="43" t="n"/>
      <c r="G20" s="43" t="n"/>
      <c r="H20" s="56" t="n"/>
      <c r="I20" s="56" t="n"/>
      <c r="J20" s="56" t="n"/>
      <c r="K20" s="56" t="n"/>
    </row>
    <row r="21" ht="16" customHeight="1" s="33">
      <c r="A21" s="56" t="n">
        <v>14</v>
      </c>
      <c r="B21" s="41" t="inlineStr">
        <is>
          <t>業務要件（詳細）</t>
        </is>
      </c>
      <c r="C21" s="43" t="inlineStr">
        <is>
          <t>ISO監査管理</t>
        </is>
      </c>
      <c r="D21" s="41" t="inlineStr">
        <is>
          <t>内部監査員の資格管理・力量評価</t>
        </is>
      </c>
      <c r="E21" s="56" t="n"/>
      <c r="F21" s="43" t="n"/>
      <c r="G21" s="43" t="n"/>
      <c r="H21" s="56" t="n"/>
      <c r="I21" s="56" t="n"/>
      <c r="J21" s="56" t="n"/>
      <c r="K21" s="56" t="n"/>
    </row>
    <row r="22" ht="16" customHeight="1" s="33">
      <c r="A22" s="56" t="n">
        <v>15</v>
      </c>
      <c r="B22" s="41" t="inlineStr">
        <is>
          <t>業務要件（詳細）</t>
        </is>
      </c>
      <c r="C22" s="43" t="inlineStr">
        <is>
          <t>ISO監査管理</t>
        </is>
      </c>
      <c r="D22" s="41" t="inlineStr">
        <is>
          <t>マネジメントレビューのインプット資料自動集計</t>
        </is>
      </c>
      <c r="E22" s="56" t="n"/>
      <c r="F22" s="43" t="n"/>
      <c r="G22" s="43" t="n"/>
      <c r="H22" s="56" t="n"/>
      <c r="I22" s="56" t="n"/>
      <c r="J22" s="56" t="n"/>
      <c r="K22" s="56" t="n"/>
    </row>
    <row r="23" ht="16" customHeight="1" s="33">
      <c r="A23" s="56" t="n">
        <v>16</v>
      </c>
      <c r="B23" s="41" t="inlineStr">
        <is>
          <t>業務要件（詳細）</t>
        </is>
      </c>
      <c r="C23" s="43" t="inlineStr">
        <is>
          <t>ISO監査管理</t>
        </is>
      </c>
      <c r="D23" s="41" t="inlineStr">
        <is>
          <t>レビュー結果（アウトプット）の記録・追跡</t>
        </is>
      </c>
      <c r="E23" s="56" t="n"/>
      <c r="F23" s="43" t="n"/>
      <c r="G23" s="43" t="n"/>
      <c r="H23" s="56" t="n"/>
      <c r="I23" s="56" t="n"/>
      <c r="J23" s="56" t="n"/>
      <c r="K23" s="56" t="n"/>
    </row>
    <row r="24" ht="16" customHeight="1" s="33">
      <c r="A24" s="56" t="n">
        <v>17</v>
      </c>
      <c r="B24" s="41" t="inlineStr">
        <is>
          <t>業務要件（詳細）</t>
        </is>
      </c>
      <c r="C24" s="41" t="inlineStr">
        <is>
          <t>環境管理</t>
        </is>
      </c>
      <c r="D24" s="41" t="inlineStr">
        <is>
          <t>環境省「温室効果ガス排出量算定・報告マニュアル」準拠</t>
        </is>
      </c>
      <c r="E24" s="56" t="n"/>
      <c r="F24" s="43" t="n"/>
      <c r="G24" s="43" t="n"/>
      <c r="H24" s="56" t="n"/>
      <c r="I24" s="56" t="n"/>
      <c r="J24" s="56" t="n"/>
      <c r="K24" s="56" t="n"/>
    </row>
    <row r="25" ht="16" customHeight="1" s="33">
      <c r="A25" s="56" t="n">
        <v>18</v>
      </c>
      <c r="B25" s="41" t="inlineStr">
        <is>
          <t>業務要件（詳細）</t>
        </is>
      </c>
      <c r="C25" s="41" t="inlineStr">
        <is>
          <t>環境管理</t>
        </is>
      </c>
      <c r="D25" s="41" t="inlineStr">
        <is>
          <t>排出係数の管理（年度別・エネルギー種別）</t>
        </is>
      </c>
      <c r="E25" s="56" t="n"/>
      <c r="F25" s="43" t="n"/>
      <c r="G25" s="43" t="n"/>
      <c r="H25" s="56" t="n"/>
      <c r="I25" s="56" t="n"/>
      <c r="J25" s="56" t="n"/>
      <c r="K25" s="56" t="n"/>
    </row>
    <row r="26" ht="16" customHeight="1" s="33">
      <c r="A26" s="56" t="n">
        <v>19</v>
      </c>
      <c r="B26" s="41" t="inlineStr">
        <is>
          <t>業務要件（詳細）</t>
        </is>
      </c>
      <c r="C26" s="41" t="inlineStr">
        <is>
          <t>環境管理</t>
        </is>
      </c>
      <c r="D26" s="41" t="inlineStr">
        <is>
          <t>月次集計・年次報告の自動生成</t>
        </is>
      </c>
      <c r="E26" s="56" t="n"/>
      <c r="F26" s="43" t="n"/>
      <c r="G26" s="43" t="n"/>
      <c r="H26" s="56" t="n"/>
      <c r="I26" s="56" t="n"/>
      <c r="J26" s="56" t="n"/>
      <c r="K26" s="56" t="n"/>
    </row>
    <row r="27" ht="16" customHeight="1" s="33">
      <c r="A27" s="56" t="n">
        <v>20</v>
      </c>
      <c r="B27" s="41" t="inlineStr">
        <is>
          <t>業務要件（詳細）</t>
        </is>
      </c>
      <c r="C27" s="41" t="inlineStr">
        <is>
          <t>環境管理</t>
        </is>
      </c>
      <c r="D27" s="43" t="inlineStr">
        <is>
          <t>SBTi目標に対する進捗率表示</t>
        </is>
      </c>
      <c r="E27" s="56" t="n"/>
      <c r="F27" s="43" t="n"/>
      <c r="G27" s="43" t="n"/>
      <c r="H27" s="56" t="n"/>
      <c r="I27" s="56" t="n"/>
      <c r="J27" s="56" t="n"/>
      <c r="K27" s="56" t="n"/>
    </row>
    <row r="28" ht="16" customHeight="1" s="33">
      <c r="A28" s="56" t="n">
        <v>21</v>
      </c>
      <c r="B28" s="41" t="inlineStr">
        <is>
          <t>業務要件（詳細）</t>
        </is>
      </c>
      <c r="C28" s="41" t="inlineStr">
        <is>
          <t>環境管理</t>
        </is>
      </c>
      <c r="D28" s="41" t="inlineStr">
        <is>
          <t>エコ・ファーストの約束に基づく目標管理</t>
        </is>
      </c>
      <c r="E28" s="56" t="n"/>
      <c r="F28" s="43" t="n"/>
      <c r="G28" s="43" t="n"/>
      <c r="H28" s="56" t="n"/>
      <c r="I28" s="56" t="n"/>
      <c r="J28" s="56" t="n"/>
      <c r="K28" s="56" t="n"/>
    </row>
    <row r="29" ht="16" customHeight="1" s="33">
      <c r="A29" s="56" t="n">
        <v>22</v>
      </c>
      <c r="B29" s="41" t="inlineStr">
        <is>
          <t>業務要件（詳細）</t>
        </is>
      </c>
      <c r="C29" s="41" t="inlineStr">
        <is>
          <t>環境管理</t>
        </is>
      </c>
      <c r="D29" s="43" t="inlineStr">
        <is>
          <t>JWNET（日本産業廃棄物処理振興センター）との連携</t>
        </is>
      </c>
      <c r="E29" s="56" t="n"/>
      <c r="F29" s="43" t="n"/>
      <c r="G29" s="43" t="n"/>
      <c r="H29" s="56" t="n"/>
      <c r="I29" s="56" t="n"/>
      <c r="J29" s="56" t="n"/>
      <c r="K29" s="56" t="n"/>
    </row>
    <row r="30" ht="16" customHeight="1" s="33">
      <c r="A30" s="56" t="n">
        <v>23</v>
      </c>
      <c r="B30" s="41" t="inlineStr">
        <is>
          <t>業務要件（詳細）</t>
        </is>
      </c>
      <c r="C30" s="41" t="inlineStr">
        <is>
          <t>環境管理</t>
        </is>
      </c>
      <c r="D30" s="41" t="inlineStr">
        <is>
          <t>電子マニフェストの登録・確認・報告</t>
        </is>
      </c>
      <c r="E30" s="56" t="n"/>
      <c r="F30" s="43" t="n"/>
      <c r="G30" s="43" t="n"/>
      <c r="H30" s="56" t="n"/>
      <c r="I30" s="56" t="n"/>
      <c r="J30" s="56" t="n"/>
      <c r="K30" s="56" t="n"/>
    </row>
    <row r="31" ht="16" customHeight="1" s="33">
      <c r="A31" s="56" t="n">
        <v>24</v>
      </c>
      <c r="B31" s="41" t="inlineStr">
        <is>
          <t>業務要件（詳細）</t>
        </is>
      </c>
      <c r="C31" s="41" t="inlineStr">
        <is>
          <t>環境管理</t>
        </is>
      </c>
      <c r="D31" s="41" t="inlineStr">
        <is>
          <t>返送期限の管理とアラート</t>
        </is>
      </c>
      <c r="E31" s="56" t="n"/>
      <c r="F31" s="43" t="n"/>
      <c r="G31" s="43" t="n"/>
      <c r="H31" s="56" t="n"/>
      <c r="I31" s="56" t="n"/>
      <c r="J31" s="56" t="n"/>
      <c r="K31" s="56" t="n"/>
    </row>
    <row r="32" ht="16" customHeight="1" s="33">
      <c r="A32" s="56" t="n">
        <v>25</v>
      </c>
      <c r="B32" s="41" t="inlineStr">
        <is>
          <t>業務要件（詳細）</t>
        </is>
      </c>
      <c r="C32" s="41" t="inlineStr">
        <is>
          <t>環境管理</t>
        </is>
      </c>
      <c r="D32" s="41" t="inlineStr">
        <is>
          <t>年次報告書の自動生成</t>
        </is>
      </c>
      <c r="E32" s="56" t="n"/>
      <c r="F32" s="43" t="n"/>
      <c r="G32" s="43" t="n"/>
      <c r="H32" s="56" t="n"/>
      <c r="I32" s="56" t="n"/>
      <c r="J32" s="56" t="n"/>
      <c r="K32" s="56" t="n"/>
    </row>
    <row r="33" ht="16" customHeight="1" s="33">
      <c r="A33" s="56" t="n">
        <v>26</v>
      </c>
      <c r="B33" s="41" t="inlineStr">
        <is>
          <t>業務要件（詳細）</t>
        </is>
      </c>
      <c r="C33" s="41" t="inlineStr">
        <is>
          <t>環境管理</t>
        </is>
      </c>
      <c r="D33" s="41" t="inlineStr">
        <is>
          <t>騒音・振動の測定記録管理</t>
        </is>
      </c>
      <c r="E33" s="56" t="n"/>
      <c r="F33" s="43" t="n"/>
      <c r="G33" s="43" t="n"/>
      <c r="H33" s="56" t="n"/>
      <c r="I33" s="56" t="n"/>
      <c r="J33" s="56" t="n"/>
      <c r="K33" s="56" t="n"/>
    </row>
    <row r="34" ht="16" customHeight="1" s="33">
      <c r="A34" s="56" t="n">
        <v>27</v>
      </c>
      <c r="B34" s="41" t="inlineStr">
        <is>
          <t>業務要件（詳細）</t>
        </is>
      </c>
      <c r="C34" s="41" t="inlineStr">
        <is>
          <t>環境管理</t>
        </is>
      </c>
      <c r="D34" s="41" t="inlineStr">
        <is>
          <t>水質汚濁防止の記録管理</t>
        </is>
      </c>
      <c r="E34" s="56" t="n"/>
      <c r="F34" s="43" t="n"/>
      <c r="G34" s="43" t="n"/>
      <c r="H34" s="56" t="n"/>
      <c r="I34" s="56" t="n"/>
      <c r="J34" s="56" t="n"/>
      <c r="K34" s="56" t="n"/>
    </row>
    <row r="35" ht="16" customHeight="1" s="33">
      <c r="A35" s="56" t="n">
        <v>28</v>
      </c>
      <c r="B35" s="41" t="inlineStr">
        <is>
          <t>業務要件（詳細）</t>
        </is>
      </c>
      <c r="C35" s="41" t="inlineStr">
        <is>
          <t>環境管理</t>
        </is>
      </c>
      <c r="D35" s="41" t="inlineStr">
        <is>
          <t>特定建設資材のリサイクル管理（建設リサイクル法）</t>
        </is>
      </c>
      <c r="E35" s="56" t="n"/>
      <c r="F35" s="43" t="n"/>
      <c r="G35" s="43" t="n"/>
      <c r="H35" s="56" t="n"/>
      <c r="I35" s="56" t="n"/>
      <c r="J35" s="56" t="n"/>
      <c r="K35" s="56" t="n"/>
    </row>
    <row r="36" ht="16" customHeight="1" s="33">
      <c r="A36" s="56" t="n">
        <v>29</v>
      </c>
      <c r="B36" s="41" t="inlineStr">
        <is>
          <t>業務要件（詳細）</t>
        </is>
      </c>
      <c r="C36" s="41" t="inlineStr">
        <is>
          <t>環境管理</t>
        </is>
      </c>
      <c r="D36" s="41" t="inlineStr">
        <is>
          <t>グリーン購入の実績管理</t>
        </is>
      </c>
      <c r="E36" s="56" t="n"/>
      <c r="F36" s="43" t="n"/>
      <c r="G36" s="43" t="n"/>
      <c r="H36" s="56" t="n"/>
      <c r="I36" s="56" t="n"/>
      <c r="J36" s="56" t="n"/>
      <c r="K36" s="56" t="n"/>
    </row>
    <row r="37" ht="16" customHeight="1" s="33">
      <c r="A37" s="56" t="n">
        <v>30</v>
      </c>
      <c r="B37" s="41" t="inlineStr">
        <is>
          <t>業務要件（詳細）</t>
        </is>
      </c>
      <c r="C37" s="41" t="inlineStr">
        <is>
          <t>環境管理</t>
        </is>
      </c>
      <c r="D37" s="41" t="inlineStr">
        <is>
          <t>環境影響評価書の管理</t>
        </is>
      </c>
      <c r="E37" s="56" t="n"/>
      <c r="F37" s="43" t="n"/>
      <c r="G37" s="43" t="n"/>
      <c r="H37" s="56" t="n"/>
      <c r="I37" s="56" t="n"/>
      <c r="J37" s="56" t="n"/>
      <c r="K37" s="56" t="n"/>
    </row>
    <row r="38" ht="32" customHeight="1" s="33">
      <c r="A38" s="56" t="n">
        <v>31</v>
      </c>
      <c r="B38" s="41" t="inlineStr">
        <is>
          <t>業務要件（詳細）</t>
        </is>
      </c>
      <c r="C38" s="41" t="inlineStr">
        <is>
          <t>是正処置・予防処置（CAPA）管理</t>
        </is>
      </c>
      <c r="D38" s="43" t="inlineStr">
        <is>
          <t>CAPA件数の推移（月次・年次）</t>
        </is>
      </c>
      <c r="E38" s="56" t="n"/>
      <c r="F38" s="43" t="n"/>
      <c r="G38" s="43" t="n"/>
      <c r="H38" s="56" t="n"/>
      <c r="I38" s="56" t="n"/>
      <c r="J38" s="56" t="n"/>
      <c r="K38" s="56" t="n"/>
    </row>
    <row r="39" ht="32" customHeight="1" s="33">
      <c r="A39" s="56" t="n">
        <v>32</v>
      </c>
      <c r="B39" s="41" t="inlineStr">
        <is>
          <t>業務要件（詳細）</t>
        </is>
      </c>
      <c r="C39" s="41" t="inlineStr">
        <is>
          <t>是正処置・予防処置（CAPA）管理</t>
        </is>
      </c>
      <c r="D39" s="41" t="inlineStr">
        <is>
          <t>発生源別の件数分析</t>
        </is>
      </c>
      <c r="E39" s="56" t="n"/>
      <c r="F39" s="43" t="n"/>
      <c r="G39" s="43" t="n"/>
      <c r="H39" s="56" t="n"/>
      <c r="I39" s="56" t="n"/>
      <c r="J39" s="56" t="n"/>
      <c r="K39" s="56" t="n"/>
    </row>
    <row r="40" ht="32" customHeight="1" s="33">
      <c r="A40" s="56" t="n">
        <v>33</v>
      </c>
      <c r="B40" s="41" t="inlineStr">
        <is>
          <t>業務要件（詳細）</t>
        </is>
      </c>
      <c r="C40" s="41" t="inlineStr">
        <is>
          <t>是正処置・予防処置（CAPA）管理</t>
        </is>
      </c>
      <c r="D40" s="41" t="inlineStr">
        <is>
          <t>期限内完了率の管理（目標：90%以上）</t>
        </is>
      </c>
      <c r="E40" s="56" t="n"/>
      <c r="F40" s="43" t="n"/>
      <c r="G40" s="43" t="n"/>
      <c r="H40" s="56" t="n"/>
      <c r="I40" s="56" t="n"/>
      <c r="J40" s="56" t="n"/>
      <c r="K40" s="56" t="n"/>
    </row>
    <row r="41" ht="32" customHeight="1" s="33">
      <c r="A41" s="56" t="n">
        <v>34</v>
      </c>
      <c r="B41" s="41" t="inlineStr">
        <is>
          <t>業務要件（詳細）</t>
        </is>
      </c>
      <c r="C41" s="41" t="inlineStr">
        <is>
          <t>是正処置・予防処置（CAPA）管理</t>
        </is>
      </c>
      <c r="D41" s="41" t="inlineStr">
        <is>
          <t>根本原因のパレート分析</t>
        </is>
      </c>
      <c r="E41" s="56" t="n"/>
      <c r="F41" s="43" t="n"/>
      <c r="G41" s="43" t="n"/>
      <c r="H41" s="56" t="n"/>
      <c r="I41" s="56" t="n"/>
      <c r="J41" s="56" t="n"/>
      <c r="K41" s="56" t="n"/>
    </row>
    <row r="42" ht="32" customHeight="1" s="33">
      <c r="A42" s="56" t="n">
        <v>35</v>
      </c>
      <c r="B42" s="41" t="inlineStr">
        <is>
          <t>業務要件（詳細）</t>
        </is>
      </c>
      <c r="C42" s="41" t="inlineStr">
        <is>
          <t>是正処置・予防処置（CAPA）管理</t>
        </is>
      </c>
      <c r="D42" s="41" t="inlineStr">
        <is>
          <t>再発率の管理</t>
        </is>
      </c>
      <c r="E42" s="56" t="n"/>
      <c r="F42" s="43" t="n"/>
      <c r="G42" s="43" t="n"/>
      <c r="H42" s="56" t="n"/>
      <c r="I42" s="56" t="n"/>
      <c r="J42" s="56" t="n"/>
      <c r="K42" s="56" t="n"/>
    </row>
    <row r="43" ht="32" customHeight="1" s="33">
      <c r="A43" s="57" t="inlineStr">
        <is>
          <t>■ PPE（個人保護具）管理</t>
        </is>
      </c>
      <c r="B43" s="54" t="n"/>
      <c r="C43" s="54" t="n"/>
      <c r="D43" s="54" t="n"/>
      <c r="E43" s="55" t="n"/>
      <c r="F43" s="54" t="n"/>
      <c r="G43" s="54" t="n"/>
      <c r="H43" s="55" t="n"/>
      <c r="I43" s="55" t="n"/>
      <c r="J43" s="55" t="n"/>
      <c r="K43" s="55" t="n"/>
    </row>
    <row r="44" ht="16" customHeight="1" s="33">
      <c r="A44" s="56" t="n">
        <v>36</v>
      </c>
      <c r="B44" s="43" t="inlineStr">
        <is>
          <t>PPE（個人保護具）管理</t>
        </is>
      </c>
      <c r="C44" s="41" t="inlineStr">
        <is>
          <t>アラート</t>
        </is>
      </c>
      <c r="D44" s="41" t="inlineStr">
        <is>
          <t>有効期限切れの1ヶ月前に自動通知</t>
        </is>
      </c>
      <c r="E44" s="56" t="n"/>
      <c r="F44" s="43" t="n"/>
      <c r="G44" s="43" t="n"/>
      <c r="H44" s="56" t="n"/>
      <c r="I44" s="56" t="n"/>
      <c r="J44" s="56" t="n"/>
      <c r="K44" s="56" t="n"/>
    </row>
    <row r="45" ht="16" customHeight="1" s="33">
      <c r="A45" s="56" t="n">
        <v>37</v>
      </c>
      <c r="B45" s="43" t="inlineStr">
        <is>
          <t>PPE（個人保護具）管理</t>
        </is>
      </c>
      <c r="C45" s="41" t="inlineStr">
        <is>
          <t>アラート</t>
        </is>
      </c>
      <c r="D45" s="41" t="inlineStr">
        <is>
          <t>未支給者の検知（新規入場者への支給漏れ防止）</t>
        </is>
      </c>
      <c r="E45" s="56" t="n"/>
      <c r="F45" s="43" t="n"/>
      <c r="G45" s="43" t="n"/>
      <c r="H45" s="56" t="n"/>
      <c r="I45" s="56" t="n"/>
      <c r="J45" s="56" t="n"/>
      <c r="K45" s="56" t="n"/>
    </row>
    <row r="46" ht="16" customHeight="1" s="33">
      <c r="A46" s="56" t="n">
        <v>38</v>
      </c>
      <c r="B46" s="43" t="inlineStr">
        <is>
          <t>PPE（個人保護具）管理</t>
        </is>
      </c>
      <c r="C46" s="41" t="inlineStr">
        <is>
          <t>アラート</t>
        </is>
      </c>
      <c r="D46" s="41" t="inlineStr">
        <is>
          <t>項目:文書ID | 内容:BIZ-HIN-001</t>
        </is>
      </c>
      <c r="E46" s="56" t="n"/>
      <c r="F46" s="43" t="n"/>
      <c r="G46" s="43" t="n"/>
      <c r="H46" s="56" t="n"/>
      <c r="I46" s="56" t="n"/>
      <c r="J46" s="56" t="n"/>
      <c r="K46" s="56" t="n"/>
    </row>
    <row r="47" ht="16" customHeight="1" s="33">
      <c r="A47" s="56" t="n">
        <v>39</v>
      </c>
      <c r="B47" s="43" t="inlineStr">
        <is>
          <t>PPE（個人保護具）管理</t>
        </is>
      </c>
      <c r="C47" s="41" t="inlineStr">
        <is>
          <t>アラート</t>
        </is>
      </c>
      <c r="D47" s="41" t="inlineStr">
        <is>
          <t>項目:版数 | 内容:1.0</t>
        </is>
      </c>
      <c r="E47" s="56" t="n"/>
      <c r="F47" s="43" t="n"/>
      <c r="G47" s="43" t="n"/>
      <c r="H47" s="56" t="n"/>
      <c r="I47" s="56" t="n"/>
      <c r="J47" s="56" t="n"/>
      <c r="K47" s="56" t="n"/>
    </row>
    <row r="48" ht="16" customHeight="1" s="33">
      <c r="A48" s="56" t="n">
        <v>40</v>
      </c>
      <c r="B48" s="43" t="inlineStr">
        <is>
          <t>PPE（個人保護具）管理</t>
        </is>
      </c>
      <c r="C48" s="41" t="inlineStr">
        <is>
          <t>アラート</t>
        </is>
      </c>
      <c r="D48" s="41" t="inlineStr">
        <is>
          <t>項目:作成日 | 内容:2026年5月16日</t>
        </is>
      </c>
      <c r="E48" s="56" t="n"/>
      <c r="F48" s="43" t="n"/>
      <c r="G48" s="43" t="n"/>
      <c r="H48" s="56" t="n"/>
      <c r="I48" s="56" t="n"/>
      <c r="J48" s="56" t="n"/>
      <c r="K48" s="56" t="n"/>
    </row>
    <row r="49" ht="16" customHeight="1" s="33">
      <c r="A49" s="56" t="n">
        <v>41</v>
      </c>
      <c r="B49" s="43" t="inlineStr">
        <is>
          <t>PPE（個人保護具）管理</t>
        </is>
      </c>
      <c r="C49" s="41" t="inlineStr">
        <is>
          <t>アラート</t>
        </is>
      </c>
      <c r="D49" s="41" t="inlineStr">
        <is>
          <t>項目:対象部署 | 内容:安全品質環境本部 品質環境部</t>
        </is>
      </c>
      <c r="E49" s="56" t="n"/>
      <c r="F49" s="43" t="n"/>
      <c r="G49" s="43" t="n"/>
      <c r="H49" s="56" t="n"/>
      <c r="I49" s="56" t="n"/>
      <c r="J49" s="56" t="n"/>
      <c r="K49" s="56" t="n"/>
    </row>
    <row r="50" ht="32" customHeight="1" s="33">
      <c r="A50" s="56" t="n">
        <v>42</v>
      </c>
      <c r="B50" s="43" t="inlineStr">
        <is>
          <t>PPE（個人保護具）管理</t>
        </is>
      </c>
      <c r="C50" s="41" t="inlineStr">
        <is>
          <t>アラート</t>
        </is>
      </c>
      <c r="D50" s="41" t="inlineStr">
        <is>
          <t>項目:対象システム | 内容:Safety &amp; Quality Governance Platform</t>
        </is>
      </c>
      <c r="E50" s="56" t="n"/>
      <c r="F50" s="43" t="n"/>
      <c r="G50" s="43" t="n"/>
      <c r="H50" s="56" t="n"/>
      <c r="I50" s="56" t="n"/>
      <c r="J50" s="56" t="n"/>
      <c r="K50" s="56" t="n"/>
    </row>
    <row r="51" ht="32" customHeight="1" s="33">
      <c r="A51" s="56" t="n">
        <v>43</v>
      </c>
      <c r="B51" s="43" t="inlineStr">
        <is>
          <t>PPE（個人保護具）管理</t>
        </is>
      </c>
      <c r="C51" s="41" t="inlineStr">
        <is>
          <t>アラート</t>
        </is>
      </c>
      <c r="D51" s="41" t="inlineStr">
        <is>
          <t>記録種別:材料試験成績書 | 作成部署:施工本部 | 保管期間:工事完了後10年</t>
        </is>
      </c>
      <c r="E51" s="56" t="n"/>
      <c r="F51" s="43" t="n"/>
      <c r="G51" s="43" t="n"/>
      <c r="H51" s="56" t="n"/>
      <c r="I51" s="56" t="n"/>
      <c r="J51" s="56" t="n"/>
      <c r="K51" s="56" t="n"/>
    </row>
    <row r="52" ht="32" customHeight="1" s="33">
      <c r="A52" s="56" t="n">
        <v>44</v>
      </c>
      <c r="B52" s="43" t="inlineStr">
        <is>
          <t>PPE（個人保護具）管理</t>
        </is>
      </c>
      <c r="C52" s="41" t="inlineStr">
        <is>
          <t>アラート</t>
        </is>
      </c>
      <c r="D52" s="41" t="inlineStr">
        <is>
          <t>記録種別:コンクリート圧縮強度試験 | 作成部署:施工本部 | 保管期間:工事完了後10年</t>
        </is>
      </c>
      <c r="E52" s="56" t="n"/>
      <c r="F52" s="43" t="n"/>
      <c r="G52" s="43" t="n"/>
      <c r="H52" s="56" t="n"/>
      <c r="I52" s="56" t="n"/>
      <c r="J52" s="56" t="n"/>
      <c r="K52" s="56" t="n"/>
    </row>
    <row r="53" ht="32" customHeight="1" s="33">
      <c r="A53" s="56" t="n">
        <v>45</v>
      </c>
      <c r="B53" s="43" t="inlineStr">
        <is>
          <t>PPE（個人保護具）管理</t>
        </is>
      </c>
      <c r="C53" s="41" t="inlineStr">
        <is>
          <t>アラート</t>
        </is>
      </c>
      <c r="D53" s="41" t="inlineStr">
        <is>
          <t>記録種別:出来形管理記録 | 作成部署:施工本部 | 保管期間:工事完了後10年</t>
        </is>
      </c>
      <c r="E53" s="56" t="n"/>
      <c r="F53" s="43" t="n"/>
      <c r="G53" s="43" t="n"/>
      <c r="H53" s="56" t="n"/>
      <c r="I53" s="56" t="n"/>
      <c r="J53" s="56" t="n"/>
      <c r="K53" s="56" t="n"/>
    </row>
    <row r="54" ht="32" customHeight="1" s="33">
      <c r="A54" s="56" t="n">
        <v>46</v>
      </c>
      <c r="B54" s="43" t="inlineStr">
        <is>
          <t>PPE（個人保護具）管理</t>
        </is>
      </c>
      <c r="C54" s="41" t="inlineStr">
        <is>
          <t>アラート</t>
        </is>
      </c>
      <c r="D54" s="41" t="inlineStr">
        <is>
          <t>記録種別:品質管理写真 | 作成部署:施工本部 | 保管期間:工事完了後10年</t>
        </is>
      </c>
      <c r="E54" s="56" t="n"/>
      <c r="F54" s="43" t="n"/>
      <c r="G54" s="43" t="n"/>
      <c r="H54" s="56" t="n"/>
      <c r="I54" s="56" t="n"/>
      <c r="J54" s="56" t="n"/>
      <c r="K54" s="56" t="n"/>
    </row>
    <row r="55" ht="32" customHeight="1" s="33">
      <c r="A55" s="56" t="n">
        <v>47</v>
      </c>
      <c r="B55" s="43" t="inlineStr">
        <is>
          <t>PPE（個人保護具）管理</t>
        </is>
      </c>
      <c r="C55" s="41" t="inlineStr">
        <is>
          <t>アラート</t>
        </is>
      </c>
      <c r="D55" s="41" t="inlineStr">
        <is>
          <t>記録種別:受入検査記録 | 作成部署:施工本部 | 保管期間:工事完了後10年</t>
        </is>
      </c>
      <c r="E55" s="56" t="n"/>
      <c r="F55" s="43" t="n"/>
      <c r="G55" s="43" t="n"/>
      <c r="H55" s="56" t="n"/>
      <c r="I55" s="56" t="n"/>
      <c r="J55" s="56" t="n"/>
      <c r="K55" s="56" t="n"/>
    </row>
    <row r="56" ht="32" customHeight="1" s="33">
      <c r="A56" s="56" t="n">
        <v>48</v>
      </c>
      <c r="B56" s="43" t="inlineStr">
        <is>
          <t>PPE（個人保護具）管理</t>
        </is>
      </c>
      <c r="C56" s="41" t="inlineStr">
        <is>
          <t>アラート</t>
        </is>
      </c>
      <c r="D56" s="41" t="inlineStr">
        <is>
          <t>記録種別:溶接検査記録 | 作成部署:施工本部 | 保管期間:工事完了後10年</t>
        </is>
      </c>
      <c r="E56" s="56" t="n"/>
      <c r="F56" s="43" t="n"/>
      <c r="G56" s="43" t="n"/>
      <c r="H56" s="56" t="n"/>
      <c r="I56" s="56" t="n"/>
      <c r="J56" s="56" t="n"/>
      <c r="K56" s="56" t="n"/>
    </row>
    <row r="57" ht="32" customHeight="1" s="33">
      <c r="A57" s="56" t="n">
        <v>49</v>
      </c>
      <c r="B57" s="43" t="inlineStr">
        <is>
          <t>PPE（個人保護具）管理</t>
        </is>
      </c>
      <c r="C57" s="41" t="inlineStr">
        <is>
          <t>アラート</t>
        </is>
      </c>
      <c r="D57" s="41" t="inlineStr">
        <is>
          <t>記録種別:施工管理記録 | 作成部署:施工本部 | 保管期間:工事完了後10年</t>
        </is>
      </c>
      <c r="E57" s="56" t="n"/>
      <c r="F57" s="43" t="n"/>
      <c r="G57" s="43" t="n"/>
      <c r="H57" s="56" t="n"/>
      <c r="I57" s="56" t="n"/>
      <c r="J57" s="56" t="n"/>
      <c r="K57" s="56" t="n"/>
    </row>
    <row r="58" ht="16" customHeight="1" s="33">
      <c r="A58" s="56" t="n">
        <v>50</v>
      </c>
      <c r="B58" s="43" t="inlineStr">
        <is>
          <t>PPE（個人保護具）管理</t>
        </is>
      </c>
      <c r="C58" s="41" t="inlineStr">
        <is>
          <t>アラート</t>
        </is>
      </c>
      <c r="D58" s="41" t="inlineStr">
        <is>
          <t>項目:NCR番号 | 説明:自動採番（年度-連番）</t>
        </is>
      </c>
      <c r="E58" s="56" t="n"/>
      <c r="F58" s="43" t="n"/>
      <c r="G58" s="43" t="n"/>
      <c r="H58" s="56" t="n"/>
      <c r="I58" s="56" t="n"/>
      <c r="J58" s="56" t="n"/>
      <c r="K58" s="56" t="n"/>
    </row>
    <row r="59" ht="16" customHeight="1" s="33">
      <c r="A59" s="56" t="n">
        <v>51</v>
      </c>
      <c r="B59" s="43" t="inlineStr">
        <is>
          <t>PPE（個人保護具）管理</t>
        </is>
      </c>
      <c r="C59" s="41" t="inlineStr">
        <is>
          <t>アラート</t>
        </is>
      </c>
      <c r="D59" s="41" t="inlineStr">
        <is>
          <t>項目:発見者 | 説明:発見した者の氏名・所属</t>
        </is>
      </c>
      <c r="E59" s="56" t="n"/>
      <c r="F59" s="43" t="n"/>
      <c r="G59" s="43" t="n"/>
      <c r="H59" s="56" t="n"/>
      <c r="I59" s="56" t="n"/>
      <c r="J59" s="56" t="n"/>
      <c r="K59" s="56" t="n"/>
    </row>
    <row r="60" ht="16" customHeight="1" s="33">
      <c r="A60" s="56" t="n">
        <v>52</v>
      </c>
      <c r="B60" s="43" t="inlineStr">
        <is>
          <t>PPE（個人保護具）管理</t>
        </is>
      </c>
      <c r="C60" s="41" t="inlineStr">
        <is>
          <t>アラート</t>
        </is>
      </c>
      <c r="D60" s="41" t="inlineStr">
        <is>
          <t>項目:不適合内容 | 説明:不適合の詳細記述</t>
        </is>
      </c>
      <c r="E60" s="56" t="n"/>
      <c r="F60" s="43" t="n"/>
      <c r="G60" s="43" t="n"/>
      <c r="H60" s="56" t="n"/>
      <c r="I60" s="56" t="n"/>
      <c r="J60" s="56" t="n"/>
      <c r="K60" s="56" t="n"/>
    </row>
    <row r="61" ht="16" customHeight="1" s="33">
      <c r="A61" s="56" t="n">
        <v>53</v>
      </c>
      <c r="B61" s="43" t="inlineStr">
        <is>
          <t>PPE（個人保護具）管理</t>
        </is>
      </c>
      <c r="C61" s="41" t="inlineStr">
        <is>
          <t>アラート</t>
        </is>
      </c>
      <c r="D61" s="41" t="inlineStr">
        <is>
          <t>項目:影響範囲 | 説明:品質・安全・環境への影響評価</t>
        </is>
      </c>
      <c r="E61" s="56" t="n"/>
      <c r="F61" s="43" t="n"/>
      <c r="G61" s="43" t="n"/>
      <c r="H61" s="56" t="n"/>
      <c r="I61" s="56" t="n"/>
      <c r="J61" s="56" t="n"/>
      <c r="K61" s="56" t="n"/>
    </row>
    <row r="62" ht="16" customHeight="1" s="33">
      <c r="A62" s="56" t="n">
        <v>54</v>
      </c>
      <c r="B62" s="43" t="inlineStr">
        <is>
          <t>PPE（個人保護具）管理</t>
        </is>
      </c>
      <c r="C62" s="41" t="inlineStr">
        <is>
          <t>アラート</t>
        </is>
      </c>
      <c r="D62" s="41" t="inlineStr">
        <is>
          <t>項目:原因分析 | 説明:なぜなぜ分析の記録</t>
        </is>
      </c>
      <c r="E62" s="56" t="n"/>
      <c r="F62" s="43" t="n"/>
      <c r="G62" s="43" t="n"/>
      <c r="H62" s="56" t="n"/>
      <c r="I62" s="56" t="n"/>
      <c r="J62" s="56" t="n"/>
      <c r="K62" s="56" t="n"/>
    </row>
    <row r="63" ht="16" customHeight="1" s="33">
      <c r="A63" s="56" t="n">
        <v>55</v>
      </c>
      <c r="B63" s="43" t="inlineStr">
        <is>
          <t>PPE（個人保護具）管理</t>
        </is>
      </c>
      <c r="C63" s="41" t="inlineStr">
        <is>
          <t>アラート</t>
        </is>
      </c>
      <c r="D63" s="41" t="inlineStr">
        <is>
          <t>項目:処置方法 | 説明:修正/手直し/特採/廃棄</t>
        </is>
      </c>
      <c r="E63" s="56" t="n"/>
      <c r="F63" s="43" t="n"/>
      <c r="G63" s="43" t="n"/>
      <c r="H63" s="56" t="n"/>
      <c r="I63" s="56" t="n"/>
      <c r="J63" s="56" t="n"/>
      <c r="K63" s="56" t="n"/>
    </row>
    <row r="64" ht="16" customHeight="1" s="33">
      <c r="A64" s="56" t="n">
        <v>56</v>
      </c>
      <c r="B64" s="43" t="inlineStr">
        <is>
          <t>PPE（個人保護具）管理</t>
        </is>
      </c>
      <c r="C64" s="41" t="inlineStr">
        <is>
          <t>アラート</t>
        </is>
      </c>
      <c r="D64" s="41" t="inlineStr">
        <is>
          <t>項目:是正処置 | 説明:再発防止策</t>
        </is>
      </c>
      <c r="E64" s="56" t="n"/>
      <c r="F64" s="43" t="n"/>
      <c r="G64" s="43" t="n"/>
      <c r="H64" s="56" t="n"/>
      <c r="I64" s="56" t="n"/>
      <c r="J64" s="56" t="n"/>
      <c r="K64" s="56" t="n"/>
    </row>
    <row r="65" ht="16" customHeight="1" s="33">
      <c r="A65" s="56" t="n">
        <v>57</v>
      </c>
      <c r="B65" s="43" t="inlineStr">
        <is>
          <t>PPE（個人保護具）管理</t>
        </is>
      </c>
      <c r="C65" s="41" t="inlineStr">
        <is>
          <t>アラート</t>
        </is>
      </c>
      <c r="D65" s="41" t="inlineStr">
        <is>
          <t>項目:期限 | 説明:是正完了期限</t>
        </is>
      </c>
      <c r="E65" s="56" t="n"/>
      <c r="F65" s="43" t="n"/>
      <c r="G65" s="43" t="n"/>
      <c r="H65" s="56" t="n"/>
      <c r="I65" s="56" t="n"/>
      <c r="J65" s="56" t="n"/>
      <c r="K65" s="56" t="n"/>
    </row>
    <row r="66" ht="16" customHeight="1" s="33">
      <c r="A66" s="56" t="n">
        <v>58</v>
      </c>
      <c r="B66" s="43" t="inlineStr">
        <is>
          <t>PPE（個人保護具）管理</t>
        </is>
      </c>
      <c r="C66" s="41" t="inlineStr">
        <is>
          <t>アラート</t>
        </is>
      </c>
      <c r="D66" s="41" t="inlineStr">
        <is>
          <t>項目:完了確認者 | 説明:品質環境部の確認者</t>
        </is>
      </c>
      <c r="E66" s="56" t="n"/>
      <c r="F66" s="43" t="n"/>
      <c r="G66" s="43" t="n"/>
      <c r="H66" s="56" t="n"/>
      <c r="I66" s="56" t="n"/>
      <c r="J66" s="56" t="n"/>
      <c r="K66" s="56" t="n"/>
    </row>
    <row r="67" ht="16" customHeight="1" s="33">
      <c r="A67" s="56" t="n">
        <v>59</v>
      </c>
      <c r="B67" s="43" t="inlineStr">
        <is>
          <t>PPE（個人保護具）管理</t>
        </is>
      </c>
      <c r="C67" s="41" t="inlineStr">
        <is>
          <t>アラート</t>
        </is>
      </c>
      <c r="D67" s="41" t="inlineStr">
        <is>
          <t>監査種別:内部監査 | 頻度:年1回 | 実施者:社内内部監査員</t>
        </is>
      </c>
      <c r="E67" s="56" t="n"/>
      <c r="F67" s="43" t="n"/>
      <c r="G67" s="43" t="n"/>
      <c r="H67" s="56" t="n"/>
      <c r="I67" s="56" t="n"/>
      <c r="J67" s="56" t="n"/>
      <c r="K67" s="56" t="n"/>
    </row>
    <row r="68" ht="16" customHeight="1" s="33">
      <c r="A68" s="56" t="n">
        <v>60</v>
      </c>
      <c r="B68" s="43" t="inlineStr">
        <is>
          <t>PPE（個人保護具）管理</t>
        </is>
      </c>
      <c r="C68" s="41" t="inlineStr">
        <is>
          <t>アラート</t>
        </is>
      </c>
      <c r="D68" s="41" t="inlineStr">
        <is>
          <t>監査種別:サーベイランス審査 | 頻度:年1回 | 実施者:認証機関</t>
        </is>
      </c>
      <c r="E68" s="56" t="n"/>
      <c r="F68" s="43" t="n"/>
      <c r="G68" s="43" t="n"/>
      <c r="H68" s="56" t="n"/>
      <c r="I68" s="56" t="n"/>
      <c r="J68" s="56" t="n"/>
      <c r="K68" s="56" t="n"/>
    </row>
    <row r="69" ht="16" customHeight="1" s="33">
      <c r="A69" s="56" t="n">
        <v>61</v>
      </c>
      <c r="B69" s="43" t="inlineStr">
        <is>
          <t>PPE（個人保護具）管理</t>
        </is>
      </c>
      <c r="C69" s="41" t="inlineStr">
        <is>
          <t>アラート</t>
        </is>
      </c>
      <c r="D69" s="41" t="inlineStr">
        <is>
          <t>監査種別:更新審査 | 頻度:3年に1回 | 実施者:認証機関</t>
        </is>
      </c>
      <c r="E69" s="56" t="n"/>
      <c r="F69" s="43" t="n"/>
      <c r="G69" s="43" t="n"/>
      <c r="H69" s="56" t="n"/>
      <c r="I69" s="56" t="n"/>
      <c r="J69" s="56" t="n"/>
      <c r="K69" s="56" t="n"/>
    </row>
    <row r="70" ht="16" customHeight="1" s="33">
      <c r="A70" s="56" t="n">
        <v>62</v>
      </c>
      <c r="B70" s="43" t="inlineStr">
        <is>
          <t>PPE（個人保護具）管理</t>
        </is>
      </c>
      <c r="C70" s="41" t="inlineStr">
        <is>
          <t>アラート</t>
        </is>
      </c>
      <c r="D70" s="41" t="inlineStr">
        <is>
          <t>監査種別:特別監査 | 頻度:必要時 | 実施者:品質環境部</t>
        </is>
      </c>
      <c r="E70" s="56" t="n"/>
      <c r="F70" s="43" t="n"/>
      <c r="G70" s="43" t="n"/>
      <c r="H70" s="56" t="n"/>
      <c r="I70" s="56" t="n"/>
      <c r="J70" s="56" t="n"/>
      <c r="K70" s="56" t="n"/>
    </row>
    <row r="71" ht="32" customHeight="1" s="33">
      <c r="A71" s="56" t="n">
        <v>63</v>
      </c>
      <c r="B71" s="43" t="inlineStr">
        <is>
          <t>PPE（個人保護具）管理</t>
        </is>
      </c>
      <c r="C71" s="41" t="inlineStr">
        <is>
          <t>アラート</t>
        </is>
      </c>
      <c r="D71" s="43" t="inlineStr">
        <is>
          <t>Scope:Scope 1 | 対象:自社重機・車両の燃料消費 | データソース:燃料使用量記録</t>
        </is>
      </c>
      <c r="E71" s="56" t="n"/>
      <c r="F71" s="43" t="n"/>
      <c r="G71" s="43" t="n"/>
      <c r="H71" s="56" t="n"/>
      <c r="I71" s="56" t="n"/>
      <c r="J71" s="56" t="n"/>
      <c r="K71" s="56" t="n"/>
    </row>
    <row r="72" ht="32" customHeight="1" s="33">
      <c r="A72" s="56" t="n">
        <v>64</v>
      </c>
      <c r="B72" s="43" t="inlineStr">
        <is>
          <t>PPE（個人保護具）管理</t>
        </is>
      </c>
      <c r="C72" s="41" t="inlineStr">
        <is>
          <t>アラート</t>
        </is>
      </c>
      <c r="D72" s="43" t="inlineStr">
        <is>
          <t>Scope:Scope 2 | 対象:購入電力 | データソース:電力使用量</t>
        </is>
      </c>
      <c r="E72" s="56" t="n"/>
      <c r="F72" s="43" t="n"/>
      <c r="G72" s="43" t="n"/>
      <c r="H72" s="56" t="n"/>
      <c r="I72" s="56" t="n"/>
      <c r="J72" s="56" t="n"/>
      <c r="K72" s="56" t="n"/>
    </row>
    <row r="73" ht="32" customHeight="1" s="33">
      <c r="A73" s="56" t="n">
        <v>65</v>
      </c>
      <c r="B73" s="43" t="inlineStr">
        <is>
          <t>PPE（個人保護具）管理</t>
        </is>
      </c>
      <c r="C73" s="41" t="inlineStr">
        <is>
          <t>アラート</t>
        </is>
      </c>
      <c r="D73" s="43" t="inlineStr">
        <is>
          <t>Scope:Scope 3 | 対象:協力会社・資材運搬・廃棄物処理等 | データソース:取引先データ</t>
        </is>
      </c>
      <c r="E73" s="56" t="n"/>
      <c r="F73" s="43" t="n"/>
      <c r="G73" s="43" t="n"/>
      <c r="H73" s="56" t="n"/>
      <c r="I73" s="56" t="n"/>
      <c r="J73" s="56" t="n"/>
      <c r="K73" s="56" t="n"/>
    </row>
    <row r="74" ht="16" customHeight="1" s="33">
      <c r="A74" s="56" t="n">
        <v>66</v>
      </c>
      <c r="B74" s="43" t="inlineStr">
        <is>
          <t>PPE（個人保護具）管理</t>
        </is>
      </c>
      <c r="C74" s="41" t="inlineStr">
        <is>
          <t>アラート</t>
        </is>
      </c>
      <c r="D74" s="41" t="inlineStr">
        <is>
          <t>項目:交付番号 | 説明:マニフェスト伝票番号</t>
        </is>
      </c>
      <c r="E74" s="56" t="n"/>
      <c r="F74" s="43" t="n"/>
      <c r="G74" s="43" t="n"/>
      <c r="H74" s="56" t="n"/>
      <c r="I74" s="56" t="n"/>
      <c r="J74" s="56" t="n"/>
      <c r="K74" s="56" t="n"/>
    </row>
    <row r="75" ht="16" customHeight="1" s="33">
      <c r="A75" s="56" t="n">
        <v>67</v>
      </c>
      <c r="B75" s="43" t="inlineStr">
        <is>
          <t>PPE（個人保護具）管理</t>
        </is>
      </c>
      <c r="C75" s="41" t="inlineStr">
        <is>
          <t>アラート</t>
        </is>
      </c>
      <c r="D75" s="41" t="inlineStr">
        <is>
          <t>項目:排出事業場 | 説明:現場名・住所</t>
        </is>
      </c>
      <c r="E75" s="56" t="n"/>
      <c r="F75" s="43" t="n"/>
      <c r="G75" s="43" t="n"/>
      <c r="H75" s="56" t="n"/>
      <c r="I75" s="56" t="n"/>
      <c r="J75" s="56" t="n"/>
      <c r="K75" s="56" t="n"/>
    </row>
    <row r="76" ht="16" customHeight="1" s="33">
      <c r="A76" s="56" t="n">
        <v>68</v>
      </c>
      <c r="B76" s="43" t="inlineStr">
        <is>
          <t>PPE（個人保護具）管理</t>
        </is>
      </c>
      <c r="C76" s="41" t="inlineStr">
        <is>
          <t>アラート</t>
        </is>
      </c>
      <c r="D76" s="41" t="inlineStr">
        <is>
          <t>項目:廃棄物種類 | 説明:汚泥/がれき類/廃プラ/木くず等</t>
        </is>
      </c>
      <c r="E76" s="56" t="n"/>
      <c r="F76" s="43" t="n"/>
      <c r="G76" s="43" t="n"/>
      <c r="H76" s="56" t="n"/>
      <c r="I76" s="56" t="n"/>
      <c r="J76" s="56" t="n"/>
      <c r="K76" s="56" t="n"/>
    </row>
    <row r="77" ht="16" customHeight="1" s="33">
      <c r="A77" s="56" t="n">
        <v>69</v>
      </c>
      <c r="B77" s="43" t="inlineStr">
        <is>
          <t>PPE（個人保護具）管理</t>
        </is>
      </c>
      <c r="C77" s="41" t="inlineStr">
        <is>
          <t>アラート</t>
        </is>
      </c>
      <c r="D77" s="41" t="inlineStr">
        <is>
          <t>項目:数量 | 説明:重量（トン）・体積（m³）</t>
        </is>
      </c>
      <c r="E77" s="56" t="n"/>
      <c r="F77" s="43" t="n"/>
      <c r="G77" s="43" t="n"/>
      <c r="H77" s="56" t="n"/>
      <c r="I77" s="56" t="n"/>
      <c r="J77" s="56" t="n"/>
      <c r="K77" s="56" t="n"/>
    </row>
    <row r="78" ht="16" customHeight="1" s="33">
      <c r="A78" s="56" t="n">
        <v>70</v>
      </c>
      <c r="B78" s="43" t="inlineStr">
        <is>
          <t>PPE（個人保護具）管理</t>
        </is>
      </c>
      <c r="C78" s="41" t="inlineStr">
        <is>
          <t>アラート</t>
        </is>
      </c>
      <c r="D78" s="41" t="inlineStr">
        <is>
          <t>項目:収集運搬業者 | 説明:業者名・許可番号</t>
        </is>
      </c>
      <c r="E78" s="56" t="n"/>
      <c r="F78" s="43" t="n"/>
      <c r="G78" s="43" t="n"/>
      <c r="H78" s="56" t="n"/>
      <c r="I78" s="56" t="n"/>
      <c r="J78" s="56" t="n"/>
      <c r="K78" s="56" t="n"/>
    </row>
    <row r="79" ht="16" customHeight="1" s="33">
      <c r="A79" s="56" t="n">
        <v>71</v>
      </c>
      <c r="B79" s="43" t="inlineStr">
        <is>
          <t>PPE（個人保護具）管理</t>
        </is>
      </c>
      <c r="C79" s="41" t="inlineStr">
        <is>
          <t>アラート</t>
        </is>
      </c>
      <c r="D79" s="41" t="inlineStr">
        <is>
          <t>項目:処分業者 | 説明:業者名・許可番号・処分方法</t>
        </is>
      </c>
      <c r="E79" s="56" t="n"/>
      <c r="F79" s="43" t="n"/>
      <c r="G79" s="43" t="n"/>
      <c r="H79" s="56" t="n"/>
      <c r="I79" s="56" t="n"/>
      <c r="J79" s="56" t="n"/>
      <c r="K79" s="56" t="n"/>
    </row>
    <row r="80" ht="16" customHeight="1" s="33">
      <c r="A80" s="56" t="n">
        <v>72</v>
      </c>
      <c r="B80" s="43" t="inlineStr">
        <is>
          <t>PPE（個人保護具）管理</t>
        </is>
      </c>
      <c r="C80" s="41" t="inlineStr">
        <is>
          <t>アラート</t>
        </is>
      </c>
      <c r="D80" s="41" t="inlineStr">
        <is>
          <t>項目:交付日 | 説明:マニフェスト交付日</t>
        </is>
      </c>
      <c r="E80" s="56" t="n"/>
      <c r="F80" s="43" t="n"/>
      <c r="G80" s="43" t="n"/>
      <c r="H80" s="56" t="n"/>
      <c r="I80" s="56" t="n"/>
      <c r="J80" s="56" t="n"/>
      <c r="K80" s="56" t="n"/>
    </row>
    <row r="81" ht="16" customHeight="1" s="33">
      <c r="A81" s="56" t="n">
        <v>73</v>
      </c>
      <c r="B81" s="43" t="inlineStr">
        <is>
          <t>PPE（個人保護具）管理</t>
        </is>
      </c>
      <c r="C81" s="41" t="inlineStr">
        <is>
          <t>アラート</t>
        </is>
      </c>
      <c r="D81" s="41" t="inlineStr">
        <is>
          <t>項目:返送状況 | 説明:B2/D/E票の返送確認</t>
        </is>
      </c>
      <c r="E81" s="56" t="n"/>
      <c r="F81" s="43" t="n"/>
      <c r="G81" s="43" t="n"/>
      <c r="H81" s="56" t="n"/>
      <c r="I81" s="56" t="n"/>
      <c r="J81" s="56" t="n"/>
      <c r="K81" s="56" t="n"/>
    </row>
    <row r="82" ht="16" customHeight="1" s="33">
      <c r="A82" s="56" t="n">
        <v>74</v>
      </c>
      <c r="B82" s="43" t="inlineStr">
        <is>
          <t>PPE（個人保護具）管理</t>
        </is>
      </c>
      <c r="C82" s="41" t="inlineStr">
        <is>
          <t>アラート</t>
        </is>
      </c>
      <c r="D82" s="41" t="inlineStr">
        <is>
          <t>管理項目:CAPA番号 | 説明:自動採番</t>
        </is>
      </c>
      <c r="E82" s="56" t="n"/>
      <c r="F82" s="43" t="n"/>
      <c r="G82" s="43" t="n"/>
      <c r="H82" s="56" t="n"/>
      <c r="I82" s="56" t="n"/>
      <c r="J82" s="56" t="n"/>
      <c r="K82" s="56" t="n"/>
    </row>
    <row r="83" ht="32" customHeight="1" s="33">
      <c r="A83" s="56" t="n">
        <v>75</v>
      </c>
      <c r="B83" s="43" t="inlineStr">
        <is>
          <t>PPE（個人保護具）管理</t>
        </is>
      </c>
      <c r="C83" s="41" t="inlineStr">
        <is>
          <t>アラート</t>
        </is>
      </c>
      <c r="D83" s="41" t="inlineStr">
        <is>
          <t>管理項目:発生源 | 説明:内部監査/外部監査/顧客苦情/NCR/ヒヤリハット</t>
        </is>
      </c>
      <c r="E83" s="56" t="n"/>
      <c r="F83" s="43" t="n"/>
      <c r="G83" s="43" t="n"/>
      <c r="H83" s="56" t="n"/>
      <c r="I83" s="56" t="n"/>
      <c r="J83" s="56" t="n"/>
      <c r="K83" s="56" t="n"/>
    </row>
    <row r="84" ht="32" customHeight="1" s="33">
      <c r="A84" s="56" t="n">
        <v>76</v>
      </c>
      <c r="B84" s="43" t="inlineStr">
        <is>
          <t>PPE（個人保護具）管理</t>
        </is>
      </c>
      <c r="C84" s="41" t="inlineStr">
        <is>
          <t>アラート</t>
        </is>
      </c>
      <c r="D84" s="41" t="inlineStr">
        <is>
          <t>管理項目:対象ISO規格 | 説明:ISO9001/14001/45001/複合</t>
        </is>
      </c>
      <c r="E84" s="56" t="n"/>
      <c r="F84" s="43" t="n"/>
      <c r="G84" s="43" t="n"/>
      <c r="H84" s="56" t="n"/>
      <c r="I84" s="56" t="n"/>
      <c r="J84" s="56" t="n"/>
      <c r="K84" s="56" t="n"/>
    </row>
    <row r="85" ht="32" customHeight="1" s="33">
      <c r="A85" s="56" t="n">
        <v>77</v>
      </c>
      <c r="B85" s="43" t="inlineStr">
        <is>
          <t>PPE（個人保護具）管理</t>
        </is>
      </c>
      <c r="C85" s="41" t="inlineStr">
        <is>
          <t>アラート</t>
        </is>
      </c>
      <c r="D85" s="41" t="inlineStr">
        <is>
          <t>管理項目:根本原因 | 説明:RCA（Root Cause Analysis）記録</t>
        </is>
      </c>
      <c r="E85" s="56" t="n"/>
      <c r="F85" s="43" t="n"/>
      <c r="G85" s="43" t="n"/>
      <c r="H85" s="56" t="n"/>
      <c r="I85" s="56" t="n"/>
      <c r="J85" s="56" t="n"/>
      <c r="K85" s="56" t="n"/>
    </row>
    <row r="86" ht="16" customHeight="1" s="33">
      <c r="A86" s="56" t="n">
        <v>78</v>
      </c>
      <c r="B86" s="43" t="inlineStr">
        <is>
          <t>PPE（個人保護具）管理</t>
        </is>
      </c>
      <c r="C86" s="41" t="inlineStr">
        <is>
          <t>アラート</t>
        </is>
      </c>
      <c r="D86" s="41" t="inlineStr">
        <is>
          <t>管理項目:是正処置 | 説明:具体的な対策内容</t>
        </is>
      </c>
      <c r="E86" s="56" t="n"/>
      <c r="F86" s="43" t="n"/>
      <c r="G86" s="43" t="n"/>
      <c r="H86" s="56" t="n"/>
      <c r="I86" s="56" t="n"/>
      <c r="J86" s="56" t="n"/>
      <c r="K86" s="56" t="n"/>
    </row>
    <row r="87" ht="16" customHeight="1" s="33">
      <c r="A87" s="56" t="n">
        <v>79</v>
      </c>
      <c r="B87" s="43" t="inlineStr">
        <is>
          <t>PPE（個人保護具）管理</t>
        </is>
      </c>
      <c r="C87" s="41" t="inlineStr">
        <is>
          <t>アラート</t>
        </is>
      </c>
      <c r="D87" s="41" t="inlineStr">
        <is>
          <t>管理項目:担当者 | 説明:実施責任者</t>
        </is>
      </c>
      <c r="E87" s="56" t="n"/>
      <c r="F87" s="43" t="n"/>
      <c r="G87" s="43" t="n"/>
      <c r="H87" s="56" t="n"/>
      <c r="I87" s="56" t="n"/>
      <c r="J87" s="56" t="n"/>
      <c r="K87" s="56" t="n"/>
    </row>
    <row r="88" ht="16" customHeight="1" s="33">
      <c r="A88" s="56" t="n">
        <v>80</v>
      </c>
      <c r="B88" s="43" t="inlineStr">
        <is>
          <t>PPE（個人保護具）管理</t>
        </is>
      </c>
      <c r="C88" s="41" t="inlineStr">
        <is>
          <t>アラート</t>
        </is>
      </c>
      <c r="D88" s="41" t="inlineStr">
        <is>
          <t>管理項目:期限 | 説明:完了期限</t>
        </is>
      </c>
      <c r="E88" s="56" t="n"/>
      <c r="F88" s="43" t="n"/>
      <c r="G88" s="43" t="n"/>
      <c r="H88" s="56" t="n"/>
      <c r="I88" s="56" t="n"/>
      <c r="J88" s="56" t="n"/>
      <c r="K88" s="56" t="n"/>
    </row>
    <row r="89" ht="16" customHeight="1" s="33">
      <c r="A89" s="56" t="n">
        <v>81</v>
      </c>
      <c r="B89" s="43" t="inlineStr">
        <is>
          <t>PPE（個人保護具）管理</t>
        </is>
      </c>
      <c r="C89" s="41" t="inlineStr">
        <is>
          <t>アラート</t>
        </is>
      </c>
      <c r="D89" s="41" t="inlineStr">
        <is>
          <t>管理項目:有効性確認 | 説明:対策効果の検証結果</t>
        </is>
      </c>
      <c r="E89" s="56" t="n"/>
      <c r="F89" s="43" t="n"/>
      <c r="G89" s="43" t="n"/>
      <c r="H89" s="56" t="n"/>
      <c r="I89" s="56" t="n"/>
      <c r="J89" s="56" t="n"/>
      <c r="K89" s="56" t="n"/>
    </row>
    <row r="90" ht="16" customHeight="1" s="33">
      <c r="A90" s="56" t="n">
        <v>82</v>
      </c>
      <c r="B90" s="43" t="inlineStr">
        <is>
          <t>PPE（個人保護具）管理</t>
        </is>
      </c>
      <c r="C90" s="41" t="inlineStr">
        <is>
          <t>アラート</t>
        </is>
      </c>
      <c r="D90" s="41" t="inlineStr">
        <is>
          <t>管理項目:完了判定 | 説明:品質環境部による完了判定</t>
        </is>
      </c>
      <c r="E90" s="56" t="n"/>
      <c r="F90" s="43" t="n"/>
      <c r="G90" s="43" t="n"/>
      <c r="H90" s="56" t="n"/>
      <c r="I90" s="56" t="n"/>
      <c r="J90" s="56" t="n"/>
      <c r="K90" s="56" t="n"/>
    </row>
    <row r="91" ht="32" customHeight="1" s="33">
      <c r="A91" s="56" t="n">
        <v>83</v>
      </c>
      <c r="B91" s="43" t="inlineStr">
        <is>
          <t>PPE（個人保護具）管理</t>
        </is>
      </c>
      <c r="C91" s="41" t="inlineStr">
        <is>
          <t>アラート</t>
        </is>
      </c>
      <c r="D91" s="41" t="inlineStr">
        <is>
          <t>項目:PPE種別 | 説明:ヘルメット/安全帯/安全靴/ライフジャケット等</t>
        </is>
      </c>
      <c r="E91" s="56" t="n"/>
      <c r="F91" s="43" t="n"/>
      <c r="G91" s="43" t="n"/>
      <c r="H91" s="56" t="n"/>
      <c r="I91" s="56" t="n"/>
      <c r="J91" s="56" t="n"/>
      <c r="K91" s="56" t="n"/>
    </row>
    <row r="92" ht="16" customHeight="1" s="33">
      <c r="A92" s="56" t="n">
        <v>84</v>
      </c>
      <c r="B92" s="43" t="inlineStr">
        <is>
          <t>PPE（個人保護具）管理</t>
        </is>
      </c>
      <c r="C92" s="41" t="inlineStr">
        <is>
          <t>アラート</t>
        </is>
      </c>
      <c r="D92" s="41" t="inlineStr">
        <is>
          <t>項目:支給対象者 | 説明:作業員名・所属</t>
        </is>
      </c>
      <c r="E92" s="56" t="n"/>
      <c r="F92" s="43" t="n"/>
      <c r="G92" s="43" t="n"/>
      <c r="H92" s="56" t="n"/>
      <c r="I92" s="56" t="n"/>
      <c r="J92" s="56" t="n"/>
      <c r="K92" s="56" t="n"/>
    </row>
    <row r="93" ht="16" customHeight="1" s="33">
      <c r="A93" s="56" t="n">
        <v>85</v>
      </c>
      <c r="B93" s="43" t="inlineStr">
        <is>
          <t>PPE（個人保護具）管理</t>
        </is>
      </c>
      <c r="C93" s="41" t="inlineStr">
        <is>
          <t>アラート</t>
        </is>
      </c>
      <c r="D93" s="41" t="inlineStr">
        <is>
          <t>項目:支給日 | 説明:支給日</t>
        </is>
      </c>
      <c r="E93" s="56" t="n"/>
      <c r="F93" s="43" t="n"/>
      <c r="G93" s="43" t="n"/>
      <c r="H93" s="56" t="n"/>
      <c r="I93" s="56" t="n"/>
      <c r="J93" s="56" t="n"/>
      <c r="K93" s="56" t="n"/>
    </row>
    <row r="94" ht="16" customHeight="1" s="33">
      <c r="A94" s="56" t="n">
        <v>86</v>
      </c>
      <c r="B94" s="43" t="inlineStr">
        <is>
          <t>PPE（個人保護具）管理</t>
        </is>
      </c>
      <c r="C94" s="41" t="inlineStr">
        <is>
          <t>アラート</t>
        </is>
      </c>
      <c r="D94" s="41" t="inlineStr">
        <is>
          <t>項目:有効期限 | 説明:製品の使用期限（ヘルメット3年等）</t>
        </is>
      </c>
      <c r="E94" s="56" t="n"/>
      <c r="F94" s="43" t="n"/>
      <c r="G94" s="43" t="n"/>
      <c r="H94" s="56" t="n"/>
      <c r="I94" s="56" t="n"/>
      <c r="J94" s="56" t="n"/>
      <c r="K94" s="56" t="n"/>
    </row>
    <row r="95" ht="16" customHeight="1" s="33">
      <c r="A95" s="56" t="n">
        <v>87</v>
      </c>
      <c r="B95" s="43" t="inlineStr">
        <is>
          <t>PPE（個人保護具）管理</t>
        </is>
      </c>
      <c r="C95" s="41" t="inlineStr">
        <is>
          <t>アラート</t>
        </is>
      </c>
      <c r="D95" s="41" t="inlineStr">
        <is>
          <t>項目:点検記録 | 説明:定期点検の記録</t>
        </is>
      </c>
      <c r="E95" s="56" t="n"/>
      <c r="F95" s="43" t="n"/>
      <c r="G95" s="43" t="n"/>
      <c r="H95" s="56" t="n"/>
      <c r="I95" s="56" t="n"/>
      <c r="J95" s="56" t="n"/>
      <c r="K95" s="56" t="n"/>
    </row>
    <row r="96" ht="16" customHeight="1" s="33">
      <c r="A96" s="56" t="n">
        <v>88</v>
      </c>
      <c r="B96" s="43" t="inlineStr">
        <is>
          <t>PPE（個人保護具）管理</t>
        </is>
      </c>
      <c r="C96" s="41" t="inlineStr">
        <is>
          <t>アラート</t>
        </is>
      </c>
      <c r="D96" s="41" t="inlineStr">
        <is>
          <t>項目:交換履歴 | 説明:交換理由・交換日</t>
        </is>
      </c>
      <c r="E96" s="56" t="n"/>
      <c r="F96" s="43" t="n"/>
      <c r="G96" s="43" t="n"/>
      <c r="H96" s="56" t="n"/>
      <c r="I96" s="56" t="n"/>
      <c r="J96" s="56" t="n"/>
      <c r="K96" s="56" t="n"/>
    </row>
    <row r="97" ht="16" customHeight="1" s="33">
      <c r="A97" s="58" t="n"/>
      <c r="B97" s="59" t="n"/>
      <c r="C97" s="59" t="n"/>
      <c r="D97" s="59" t="n"/>
      <c r="E97" s="58" t="n"/>
      <c r="F97" s="59" t="n"/>
      <c r="G97" s="59" t="n"/>
      <c r="H97" s="58" t="n"/>
      <c r="I97" s="58" t="n"/>
      <c r="J97" s="58" t="n"/>
      <c r="K97" s="58" t="n"/>
    </row>
    <row r="98" ht="48" customHeight="1" s="33">
      <c r="A98" s="60" t="inlineStr">
        <is>
          <t>■ 新規追加業務（以下に追記してください）</t>
        </is>
      </c>
      <c r="B98" s="54" t="n"/>
      <c r="C98" s="54" t="n"/>
      <c r="D98" s="54" t="n"/>
      <c r="E98" s="55" t="n"/>
      <c r="F98" s="54" t="n"/>
      <c r="G98" s="54" t="n"/>
      <c r="H98" s="55" t="n"/>
      <c r="I98" s="55" t="n"/>
      <c r="J98" s="55" t="n"/>
      <c r="K98" s="55" t="n"/>
    </row>
    <row r="99" ht="16" customHeight="1" s="33">
      <c r="A99" s="61" t="inlineStr">
        <is>
          <t>追1</t>
        </is>
      </c>
      <c r="B99" s="62" t="n"/>
      <c r="C99" s="62" t="n"/>
      <c r="D99" s="62" t="n"/>
      <c r="E99" s="63" t="inlineStr">
        <is>
          <t>追加</t>
        </is>
      </c>
      <c r="F99" s="62" t="n"/>
      <c r="G99" s="62" t="n"/>
      <c r="H99" s="64" t="n"/>
      <c r="I99" s="64" t="n"/>
      <c r="J99" s="64" t="n"/>
      <c r="K99" s="64" t="n"/>
    </row>
    <row r="100" ht="16" customHeight="1" s="33">
      <c r="A100" s="61" t="inlineStr">
        <is>
          <t>追2</t>
        </is>
      </c>
      <c r="B100" s="62" t="n"/>
      <c r="C100" s="62" t="n"/>
      <c r="D100" s="62" t="n"/>
      <c r="E100" s="63" t="inlineStr">
        <is>
          <t>追加</t>
        </is>
      </c>
      <c r="F100" s="62" t="n"/>
      <c r="G100" s="62" t="n"/>
      <c r="H100" s="64" t="n"/>
      <c r="I100" s="64" t="n"/>
      <c r="J100" s="64" t="n"/>
      <c r="K100" s="64" t="n"/>
    </row>
    <row r="101" ht="16" customHeight="1" s="33">
      <c r="A101" s="61" t="inlineStr">
        <is>
          <t>追3</t>
        </is>
      </c>
      <c r="B101" s="62" t="n"/>
      <c r="C101" s="62" t="n"/>
      <c r="D101" s="62" t="n"/>
      <c r="E101" s="63" t="inlineStr">
        <is>
          <t>追加</t>
        </is>
      </c>
      <c r="F101" s="62" t="n"/>
      <c r="G101" s="62" t="n"/>
      <c r="H101" s="64" t="n"/>
      <c r="I101" s="64" t="n"/>
      <c r="J101" s="64" t="n"/>
      <c r="K101" s="64" t="n"/>
    </row>
    <row r="102" ht="16" customHeight="1" s="33">
      <c r="A102" s="61" t="inlineStr">
        <is>
          <t>追4</t>
        </is>
      </c>
      <c r="B102" s="62" t="n"/>
      <c r="C102" s="62" t="n"/>
      <c r="D102" s="62" t="n"/>
      <c r="E102" s="63" t="inlineStr">
        <is>
          <t>追加</t>
        </is>
      </c>
      <c r="F102" s="62" t="n"/>
      <c r="G102" s="62" t="n"/>
      <c r="H102" s="64" t="n"/>
      <c r="I102" s="64" t="n"/>
      <c r="J102" s="64" t="n"/>
      <c r="K102" s="64" t="n"/>
    </row>
    <row r="103" ht="16" customHeight="1" s="33">
      <c r="A103" s="61" t="inlineStr">
        <is>
          <t>追5</t>
        </is>
      </c>
      <c r="B103" s="62" t="n"/>
      <c r="C103" s="62" t="n"/>
      <c r="D103" s="62" t="n"/>
      <c r="E103" s="63" t="inlineStr">
        <is>
          <t>追加</t>
        </is>
      </c>
      <c r="F103" s="62" t="n"/>
      <c r="G103" s="62" t="n"/>
      <c r="H103" s="64" t="n"/>
      <c r="I103" s="64" t="n"/>
      <c r="J103" s="64" t="n"/>
      <c r="K103" s="64" t="n"/>
    </row>
    <row r="104" ht="16" customHeight="1" s="33">
      <c r="A104" s="61" t="inlineStr">
        <is>
          <t>追6</t>
        </is>
      </c>
      <c r="B104" s="62" t="n"/>
      <c r="C104" s="62" t="n"/>
      <c r="D104" s="62" t="n"/>
      <c r="E104" s="63" t="inlineStr">
        <is>
          <t>追加</t>
        </is>
      </c>
      <c r="F104" s="62" t="n"/>
      <c r="G104" s="62" t="n"/>
      <c r="H104" s="64" t="n"/>
      <c r="I104" s="64" t="n"/>
      <c r="J104" s="64" t="n"/>
      <c r="K104" s="64" t="n"/>
    </row>
    <row r="105" ht="16" customHeight="1" s="33">
      <c r="A105" s="61" t="inlineStr">
        <is>
          <t>追7</t>
        </is>
      </c>
      <c r="B105" s="62" t="n"/>
      <c r="C105" s="62" t="n"/>
      <c r="D105" s="62" t="n"/>
      <c r="E105" s="63" t="inlineStr">
        <is>
          <t>追加</t>
        </is>
      </c>
      <c r="F105" s="62" t="n"/>
      <c r="G105" s="62" t="n"/>
      <c r="H105" s="64" t="n"/>
      <c r="I105" s="64" t="n"/>
      <c r="J105" s="64" t="n"/>
      <c r="K105" s="64" t="n"/>
    </row>
    <row r="106" ht="16" customHeight="1" s="33">
      <c r="A106" s="61" t="inlineStr">
        <is>
          <t>追8</t>
        </is>
      </c>
      <c r="B106" s="62" t="n"/>
      <c r="C106" s="62" t="n"/>
      <c r="D106" s="62" t="n"/>
      <c r="E106" s="63" t="inlineStr">
        <is>
          <t>追加</t>
        </is>
      </c>
      <c r="F106" s="62" t="n"/>
      <c r="G106" s="62" t="n"/>
      <c r="H106" s="64" t="n"/>
      <c r="I106" s="64" t="n"/>
      <c r="J106" s="64" t="n"/>
      <c r="K106" s="64" t="n"/>
    </row>
    <row r="107" ht="16" customHeight="1" s="33">
      <c r="A107" s="61" t="inlineStr">
        <is>
          <t>追9</t>
        </is>
      </c>
      <c r="B107" s="62" t="n"/>
      <c r="C107" s="62" t="n"/>
      <c r="D107" s="62" t="n"/>
      <c r="E107" s="63" t="inlineStr">
        <is>
          <t>追加</t>
        </is>
      </c>
      <c r="F107" s="62" t="n"/>
      <c r="G107" s="62" t="n"/>
      <c r="H107" s="64" t="n"/>
      <c r="I107" s="64" t="n"/>
      <c r="J107" s="64" t="n"/>
      <c r="K107" s="64" t="n"/>
    </row>
    <row r="108" ht="16" customHeight="1" s="33">
      <c r="A108" s="61" t="inlineStr">
        <is>
          <t>追10</t>
        </is>
      </c>
      <c r="B108" s="62" t="n"/>
      <c r="C108" s="62" t="n"/>
      <c r="D108" s="62" t="n"/>
      <c r="E108" s="63" t="inlineStr">
        <is>
          <t>追加</t>
        </is>
      </c>
      <c r="F108" s="62" t="n"/>
      <c r="G108" s="62" t="n"/>
      <c r="H108" s="64" t="n"/>
      <c r="I108" s="64" t="n"/>
      <c r="J108" s="64" t="n"/>
      <c r="K108" s="64" t="n"/>
    </row>
    <row r="109" ht="16" customHeight="1" s="33">
      <c r="A109" s="58" t="n"/>
      <c r="B109" s="59" t="n"/>
      <c r="C109" s="59" t="n"/>
      <c r="D109" s="59" t="n"/>
      <c r="E109" s="58" t="n"/>
      <c r="F109" s="59" t="n"/>
      <c r="G109" s="59" t="n"/>
      <c r="H109" s="58" t="n"/>
      <c r="I109" s="58" t="n"/>
      <c r="J109" s="58" t="n"/>
      <c r="K109" s="58" t="n"/>
    </row>
    <row r="110" ht="16" customHeight="1" s="33">
      <c r="A110" s="58" t="n"/>
      <c r="B110" s="59" t="n"/>
      <c r="C110" s="59" t="n"/>
      <c r="D110" s="59" t="n"/>
      <c r="E110" s="58" t="n"/>
      <c r="F110" s="59" t="n"/>
      <c r="G110" s="59" t="n"/>
      <c r="H110" s="58" t="n"/>
      <c r="I110" s="58" t="n"/>
      <c r="J110" s="58" t="n"/>
      <c r="K110" s="58" t="n"/>
    </row>
    <row r="111" ht="16" customHeight="1" s="33">
      <c r="A111" s="65" t="inlineStr">
        <is>
          <t>【集計】</t>
        </is>
      </c>
      <c r="B111" s="59" t="n"/>
      <c r="C111" s="59" t="n"/>
      <c r="D111" s="59" t="n"/>
      <c r="E111" s="58" t="n"/>
      <c r="F111" s="59" t="n"/>
      <c r="G111" s="59" t="n"/>
      <c r="H111" s="58" t="n"/>
      <c r="I111" s="58" t="n"/>
      <c r="J111" s="58" t="n"/>
      <c r="K111" s="58" t="n"/>
    </row>
    <row r="112" ht="32" customHeight="1" s="33">
      <c r="A112" s="66" t="inlineStr">
        <is>
          <t>OK件数</t>
        </is>
      </c>
      <c r="B112" s="67">
        <f>COUNTIF(E6:E500,"OK")</f>
        <v/>
      </c>
      <c r="C112" s="59" t="n"/>
      <c r="D112" s="59" t="n"/>
      <c r="E112" s="58" t="n"/>
      <c r="F112" s="59" t="n"/>
      <c r="G112" s="59" t="n"/>
      <c r="H112" s="58" t="n"/>
      <c r="I112" s="58" t="n"/>
      <c r="J112" s="58" t="n"/>
      <c r="K112" s="58" t="n"/>
    </row>
    <row r="113" ht="32" customHeight="1" s="33">
      <c r="A113" s="66" t="inlineStr">
        <is>
          <t>NG件数</t>
        </is>
      </c>
      <c r="B113" s="67">
        <f>COUNTIF(E6:E500,"NG")</f>
        <v/>
      </c>
      <c r="C113" s="59" t="n"/>
      <c r="D113" s="59" t="n"/>
      <c r="E113" s="58" t="n"/>
      <c r="F113" s="59" t="n"/>
      <c r="G113" s="59" t="n"/>
      <c r="H113" s="58" t="n"/>
      <c r="I113" s="58" t="n"/>
      <c r="J113" s="58" t="n"/>
      <c r="K113" s="58" t="n"/>
    </row>
    <row r="114" ht="32" customHeight="1" s="33">
      <c r="A114" s="65" t="inlineStr">
        <is>
          <t>追加件数</t>
        </is>
      </c>
      <c r="B114" s="67">
        <f>COUNTIF(E6:E500,"追加")</f>
        <v/>
      </c>
      <c r="C114" s="59" t="n"/>
      <c r="D114" s="59" t="n"/>
      <c r="E114" s="58" t="n"/>
      <c r="F114" s="59" t="n"/>
      <c r="G114" s="59" t="n"/>
      <c r="H114" s="58" t="n"/>
      <c r="I114" s="58" t="n"/>
      <c r="J114" s="58" t="n"/>
      <c r="K114" s="58" t="n"/>
    </row>
    <row r="115" ht="32" customHeight="1" s="33">
      <c r="A115" s="65" t="inlineStr">
        <is>
          <t>削除件数</t>
        </is>
      </c>
      <c r="B115" s="67">
        <f>COUNTIF(E6:E500,"削除")</f>
        <v/>
      </c>
      <c r="C115" s="59" t="n"/>
      <c r="D115" s="59" t="n"/>
      <c r="E115" s="58" t="n"/>
      <c r="F115" s="59" t="n"/>
      <c r="G115" s="59" t="n"/>
      <c r="H115" s="58" t="n"/>
      <c r="I115" s="58" t="n"/>
      <c r="J115" s="58" t="n"/>
      <c r="K115" s="58" t="n"/>
    </row>
  </sheetData>
  <autoFilter ref="A5:K110"/>
  <mergeCells count="8">
    <mergeCell ref="A6:K6"/>
    <mergeCell ref="A12:K12"/>
    <mergeCell ref="A3:K3"/>
    <mergeCell ref="A43:K43"/>
    <mergeCell ref="A2:K2"/>
    <mergeCell ref="A98:K98"/>
    <mergeCell ref="A111:E111"/>
    <mergeCell ref="A1:K1"/>
  </mergeCells>
  <dataValidations count="2">
    <dataValidation sqref="E7:E11 E13:E42 E44:E96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1 H13:H42 H44:H96 H99:H108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2" min="1" max="1"/>
    <col width="14" customWidth="1" style="32" min="2" max="2"/>
    <col width="16" customWidth="1" style="32" min="3" max="3"/>
    <col width="14" customWidth="1" style="33" min="4" max="4"/>
    <col width="14" customWidth="1" style="33" min="5" max="5"/>
    <col width="14" customWidth="1" style="33" min="6" max="6"/>
  </cols>
  <sheetData>
    <row r="1" ht="38" customHeight="1" s="33">
      <c r="A1" s="68" t="inlineStr">
        <is>
          <t>業務要件確認サマリー — 品質環境部</t>
        </is>
      </c>
    </row>
    <row r="2" ht="11.9" customHeight="1" s="33">
      <c r="A2" s="35" t="inlineStr">
        <is>
          <t>対象業務項目数: 88件 | 確認期限: ____年__月__日</t>
        </is>
      </c>
    </row>
    <row r="4" ht="15" customHeight="1" s="33">
      <c r="A4" s="69" t="inlineStr">
        <is>
          <t>項目</t>
        </is>
      </c>
      <c r="B4" s="69" t="inlineStr">
        <is>
          <t>件数</t>
        </is>
      </c>
      <c r="C4" s="69" t="inlineStr">
        <is>
          <t>割合</t>
        </is>
      </c>
    </row>
    <row r="5" ht="15" customHeight="1" s="33">
      <c r="A5" s="70" t="inlineStr">
        <is>
          <t>OK（問題なし）</t>
        </is>
      </c>
      <c r="B5" s="44">
        <f>業務チェック確認!B112</f>
        <v/>
      </c>
      <c r="C5" s="44" t="n"/>
    </row>
    <row r="6" ht="15" customHeight="1" s="33">
      <c r="A6" s="70" t="inlineStr">
        <is>
          <t>NG（修正要）</t>
        </is>
      </c>
      <c r="B6" s="44">
        <f>業務チェック確認!B113</f>
        <v/>
      </c>
      <c r="C6" s="44" t="n"/>
    </row>
    <row r="7" ht="15" customHeight="1" s="33">
      <c r="A7" s="71" t="inlineStr">
        <is>
          <t>追加（新規）</t>
        </is>
      </c>
      <c r="B7" s="44">
        <f>業務チェック確認!B114</f>
        <v/>
      </c>
      <c r="C7" s="44" t="n"/>
    </row>
    <row r="8" ht="15" customHeight="1" s="33">
      <c r="A8" s="71" t="inlineStr">
        <is>
          <t>削除（不要）</t>
        </is>
      </c>
      <c r="B8" s="44">
        <f>業務チェック確認!B115</f>
        <v/>
      </c>
      <c r="C8" s="44" t="n"/>
    </row>
    <row r="9" ht="15" customHeight="1" s="33">
      <c r="A9" s="71" t="inlineStr">
        <is>
          <t>未確認</t>
        </is>
      </c>
      <c r="B9" s="44">
        <f>業務チェック確認!B116</f>
        <v/>
      </c>
      <c r="C9" s="44" t="n"/>
    </row>
    <row r="11" ht="15" customHeight="1" s="33">
      <c r="A11" s="72" t="inlineStr">
        <is>
          <t>確認完了判定</t>
        </is>
      </c>
    </row>
    <row r="12" ht="15" customHeight="1" s="33">
      <c r="A12" s="73" t="inlineStr">
        <is>
          <t>※ NG件数が0件で確認完了</t>
        </is>
      </c>
    </row>
    <row r="14" ht="15" customHeight="1" s="33">
      <c r="A14" s="72" t="inlineStr">
        <is>
          <t>【承認欄】</t>
        </is>
      </c>
    </row>
    <row r="15" ht="15" customHeight="1" s="33">
      <c r="A15" s="42" t="inlineStr">
        <is>
          <t>部門責任者</t>
        </is>
      </c>
      <c r="B15" s="74" t="inlineStr">
        <is>
          <t>氏名:</t>
        </is>
      </c>
      <c r="C15" s="75" t="n"/>
      <c r="D15" s="74" t="inlineStr">
        <is>
          <t>日付:</t>
        </is>
      </c>
      <c r="E15" s="75" t="n"/>
    </row>
    <row r="16" ht="15" customHeight="1" s="33">
      <c r="A16" s="45" t="inlineStr">
        <is>
          <t>DX推進担当</t>
        </is>
      </c>
      <c r="B16" s="74" t="inlineStr">
        <is>
          <t>氏名:</t>
        </is>
      </c>
      <c r="C16" s="75" t="n"/>
      <c r="D16" s="74" t="inlineStr">
        <is>
          <t>日付:</t>
        </is>
      </c>
      <c r="E16" s="75" t="n"/>
    </row>
    <row r="17" ht="15" customHeight="1" s="33">
      <c r="A17" s="45" t="inlineStr">
        <is>
          <t>IT-DX部門</t>
        </is>
      </c>
      <c r="B17" s="74" t="inlineStr">
        <is>
          <t>氏名:</t>
        </is>
      </c>
      <c r="C17" s="75" t="n"/>
      <c r="D17" s="74" t="inlineStr">
        <is>
          <t>日付:</t>
        </is>
      </c>
      <c r="E17" s="75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2026-05-16T01:02:08Z</dcterms:created>
  <dcterms:modified xmlns:dcterms="http://purl.org/dc/terms/" xmlns:xsi="http://www.w3.org/2001/XMLSchema-instance" xsi:type="dcterms:W3CDTF">2026-05-16T01:30:13Z</dcterms:modified>
  <cp:revision>0</cp:revision>
</cp:coreProperties>
</file>